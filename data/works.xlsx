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/data/"/>
    </mc:Choice>
  </mc:AlternateContent>
  <xr:revisionPtr revIDLastSave="0" documentId="13_ncr:1_{94D41086-A241-904F-8004-9B10DF4A8FC5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lookup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A38" i="1"/>
  <c r="A41" i="1"/>
  <c r="A40" i="1"/>
  <c r="A5" i="1"/>
  <c r="A6" i="1"/>
  <c r="A32" i="1"/>
  <c r="A12" i="1"/>
  <c r="A13" i="1"/>
  <c r="A34" i="1"/>
  <c r="A33" i="1"/>
  <c r="A31" i="1"/>
  <c r="A30" i="1"/>
  <c r="A29" i="1"/>
  <c r="A28" i="1"/>
  <c r="A27" i="1"/>
  <c r="A22" i="1"/>
  <c r="A21" i="1"/>
  <c r="A20" i="1"/>
  <c r="A16" i="1"/>
  <c r="A15" i="1"/>
  <c r="A14" i="1"/>
  <c r="A23" i="1"/>
  <c r="A19" i="1"/>
  <c r="A18" i="1"/>
  <c r="A17" i="1"/>
  <c r="A10" i="1"/>
  <c r="A11" i="1"/>
  <c r="A9" i="1"/>
  <c r="A8" i="1"/>
  <c r="A7" i="1"/>
  <c r="A4" i="1"/>
</calcChain>
</file>

<file path=xl/sharedStrings.xml><?xml version="1.0" encoding="utf-8"?>
<sst xmlns="http://schemas.openxmlformats.org/spreadsheetml/2006/main" count="176" uniqueCount="125">
  <si>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</si>
  <si>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</si>
  <si>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</si>
  <si>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</si>
  <si>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</si>
  <si>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</si>
  <si>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</si>
  <si>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</si>
  <si>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</si>
  <si>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</si>
  <si>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</si>
  <si>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</si>
  <si>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</si>
  <si>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</si>
  <si>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</si>
  <si>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</si>
  <si>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</si>
  <si>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</si>
  <si>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</si>
  <si>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</si>
  <si>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</si>
  <si>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</si>
  <si>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</si>
  <si>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</si>
  <si>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</si>
  <si>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</si>
  <si>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</si>
  <si>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</si>
  <si>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</si>
  <si>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</si>
  <si>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</si>
  <si>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</si>
  <si>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</si>
  <si>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</si>
  <si>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</si>
  <si>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</si>
  <si>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</si>
  <si>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</si>
  <si>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</si>
  <si>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</si>
  <si>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</si>
  <si>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</si>
  <si>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</si>
  <si>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</si>
  <si>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</si>
  <si>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</si>
  <si>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</si>
  <si>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</si>
  <si>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</si>
  <si>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</si>
  <si>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</si>
  <si>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</si>
  <si>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</si>
  <si>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</si>
  <si>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</si>
  <si>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</si>
  <si>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</si>
  <si>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</si>
  <si>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</si>
  <si>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</si>
  <si>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</si>
  <si>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</si>
  <si>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</si>
  <si>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</si>
  <si>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</si>
  <si>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</si>
  <si>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</si>
  <si>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</si>
  <si>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</si>
  <si>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</si>
  <si>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</si>
  <si>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</si>
  <si>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</si>
  <si>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</si>
  <si>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</si>
  <si>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</si>
  <si>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</si>
  <si>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</si>
  <si>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</si>
  <si>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</si>
  <si>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</si>
  <si>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</si>
  <si>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</si>
  <si>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</si>
  <si>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</si>
  <si>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</si>
  <si>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</si>
  <si>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</si>
  <si>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</si>
  <si>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creators</t>
  </si>
  <si>
    <t>structured list e.g. Mike Davies|Artist; Jane Smith|Collaborator</t>
  </si>
  <si>
    <t>artist_display</t>
  </si>
  <si>
    <t>an override when you need a specific phrasing (“with”, “after”, “in collaboration with”, etc.)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</si>
  <si>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</si>
  <si>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</si>
  <si>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</si>
  <si>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</si>
  <si>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</si>
  <si>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</si>
  <si>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</si>
  <si>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</si>
  <si>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</si>
  <si>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</si>
  <si>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</si>
  <si>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</si>
  <si>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</si>
  <si>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</si>
  <si>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</si>
  <si>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</si>
  <si>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</si>
  <si>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</si>
  <si>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</si>
  <si>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</si>
  <si>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</si>
  <si>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</si>
  <si>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</si>
  <si>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</si>
  <si>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</si>
  <si>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</si>
  <si>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foreign key to work.work_id e.g. 00286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</si>
  <si>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</si>
  <si>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</si>
  <si>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</si>
  <si>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</si>
  <si>
    <t>83 particles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</si>
</sst>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1"/>
  <sheetViews>
    <sheetView topLeftCell="A6" zoomScaleNormal="100" workbookViewId="0">
      <selection activeCell="D41" sqref="D41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120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89</v>
      </c>
      <c r="D5" s="1" t="s">
        <v>90</v>
      </c>
      <c r="E5" s="1" t="s">
        <v>93</v>
      </c>
    </row>
    <row r="6" spans="1:5" x14ac:dyDescent="0.2">
      <c r="A6" s="1" t="b">
        <f>NOT(ISERROR(HLOOKUP(B6,Works!$1:$1,1,FALSE)))</f>
        <v>1</v>
      </c>
      <c r="B6" s="1" t="s">
        <v>91</v>
      </c>
      <c r="D6" s="1" t="s">
        <v>92</v>
      </c>
      <c r="E6" s="1" t="s">
        <v>93</v>
      </c>
    </row>
    <row r="7" spans="1:5" x14ac:dyDescent="0.2">
      <c r="A7" s="1" t="b">
        <f>NOT(ISERROR(HLOOKUP(B7,Works!$1:$1,1,FALSE)))</f>
        <v>1</v>
      </c>
      <c r="B7" s="1" t="s">
        <v>4</v>
      </c>
      <c r="D7" s="1" t="s">
        <v>38</v>
      </c>
      <c r="E7" s="1" t="s">
        <v>41</v>
      </c>
    </row>
    <row r="8" spans="1:5" x14ac:dyDescent="0.2">
      <c r="A8" s="1" t="b">
        <f>NOT(ISERROR(HLOOKUP(B8,Works!$1:$1,1,FALSE)))</f>
        <v>1</v>
      </c>
      <c r="B8" s="1" t="s">
        <v>5</v>
      </c>
      <c r="D8" s="1" t="s">
        <v>39</v>
      </c>
      <c r="E8" s="1" t="s">
        <v>42</v>
      </c>
    </row>
    <row r="9" spans="1:5" x14ac:dyDescent="0.2">
      <c r="A9" s="1" t="b">
        <f>NOT(ISERROR(HLOOKUP(B9,Works!$1:$1,1,FALSE)))</f>
        <v>1</v>
      </c>
      <c r="B9" s="1" t="s">
        <v>18</v>
      </c>
      <c r="D9" s="1" t="s">
        <v>20</v>
      </c>
      <c r="E9" s="1" t="s">
        <v>19</v>
      </c>
    </row>
    <row r="10" spans="1:5" x14ac:dyDescent="0.2">
      <c r="A10" s="1" t="b">
        <f>NOT(ISERROR(HLOOKUP(B10,Works!$1:$1,1,FALSE)))</f>
        <v>1</v>
      </c>
      <c r="B10" s="1" t="s">
        <v>6</v>
      </c>
      <c r="D10" s="1" t="s">
        <v>43</v>
      </c>
      <c r="E10" s="1" t="s">
        <v>71</v>
      </c>
    </row>
    <row r="11" spans="1:5" x14ac:dyDescent="0.2">
      <c r="A11" s="1" t="b">
        <f>NOT(ISERROR(HLOOKUP(B11,Works!$1:$1,1,FALSE)))</f>
        <v>1</v>
      </c>
      <c r="B11" s="1" t="s">
        <v>76</v>
      </c>
      <c r="C11" s="1" t="s">
        <v>75</v>
      </c>
      <c r="D11" s="1" t="s">
        <v>72</v>
      </c>
      <c r="E11" s="1" t="s">
        <v>74</v>
      </c>
    </row>
    <row r="12" spans="1:5" x14ac:dyDescent="0.2">
      <c r="A12" s="1" t="b">
        <f>NOT(ISERROR(HLOOKUP(B12,Works!$1:$1,1,FALSE)))</f>
        <v>1</v>
      </c>
      <c r="B12" s="1" t="s">
        <v>77</v>
      </c>
      <c r="D12" s="1" t="s">
        <v>59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24</v>
      </c>
      <c r="D13" s="1" t="s">
        <v>73</v>
      </c>
      <c r="E13" s="1" t="s">
        <v>60</v>
      </c>
    </row>
    <row r="14" spans="1:5" x14ac:dyDescent="0.2">
      <c r="A14" s="1" t="b">
        <f>NOT(ISERROR(HLOOKUP(B14,Works!$1:$1,1,FALSE)))</f>
        <v>1</v>
      </c>
      <c r="B14" s="1" t="s">
        <v>21</v>
      </c>
      <c r="D14" s="1" t="s">
        <v>49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22</v>
      </c>
      <c r="D15" s="1" t="s">
        <v>50</v>
      </c>
      <c r="E15" s="1" t="s">
        <v>33</v>
      </c>
    </row>
    <row r="16" spans="1:5" x14ac:dyDescent="0.2">
      <c r="A16" s="1" t="b">
        <f>NOT(ISERROR(HLOOKUP(B16,Works!$1:$1,1,FALSE)))</f>
        <v>1</v>
      </c>
      <c r="B16" s="1" t="s">
        <v>23</v>
      </c>
      <c r="D16" s="1" t="s">
        <v>51</v>
      </c>
      <c r="E16" s="1" t="s">
        <v>52</v>
      </c>
    </row>
    <row r="17" spans="1:5" x14ac:dyDescent="0.2">
      <c r="A17" s="1" t="b">
        <f>NOT(ISERROR(HLOOKUP(B17,Works!$1:$1,1,FALSE)))</f>
        <v>1</v>
      </c>
      <c r="B17" s="1" t="s">
        <v>7</v>
      </c>
      <c r="C17" s="1" t="s">
        <v>82</v>
      </c>
      <c r="D17" s="1" t="s">
        <v>44</v>
      </c>
      <c r="E17" s="1" t="s">
        <v>45</v>
      </c>
    </row>
    <row r="18" spans="1:5" x14ac:dyDescent="0.2">
      <c r="A18" s="1" t="b">
        <f>NOT(ISERROR(HLOOKUP(B18,Works!$1:$1,1,FALSE)))</f>
        <v>1</v>
      </c>
      <c r="B18" s="1" t="s">
        <v>35</v>
      </c>
      <c r="D18" s="1" t="s">
        <v>46</v>
      </c>
      <c r="E18" s="1" t="s">
        <v>47</v>
      </c>
    </row>
    <row r="19" spans="1:5" x14ac:dyDescent="0.2">
      <c r="A19" s="1" t="b">
        <f>NOT(ISERROR(HLOOKUP(B19,Works!$1:$1,1,FALSE)))</f>
        <v>1</v>
      </c>
      <c r="B19" s="1" t="s">
        <v>8</v>
      </c>
      <c r="C19" s="1" t="s">
        <v>79</v>
      </c>
      <c r="D19" s="1" t="s">
        <v>36</v>
      </c>
      <c r="E19" s="1" t="s">
        <v>48</v>
      </c>
    </row>
    <row r="20" spans="1:5" x14ac:dyDescent="0.2">
      <c r="A20" s="1" t="b">
        <f>NOT(ISERROR(HLOOKUP(B20,Works!$1:$1,1,FALSE)))</f>
        <v>1</v>
      </c>
      <c r="B20" s="1" t="s">
        <v>56</v>
      </c>
      <c r="C20" s="1" t="s">
        <v>80</v>
      </c>
      <c r="D20" s="1" t="s">
        <v>57</v>
      </c>
      <c r="E20" s="1" t="s">
        <v>58</v>
      </c>
    </row>
    <row r="21" spans="1:5" x14ac:dyDescent="0.2">
      <c r="A21" s="1" t="b">
        <f>NOT(ISERROR(HLOOKUP(B21,Works!$1:$1,1,FALSE)))</f>
        <v>1</v>
      </c>
      <c r="B21" s="1" t="s">
        <v>11</v>
      </c>
      <c r="D21" s="1" t="s">
        <v>12</v>
      </c>
      <c r="E21" s="1" t="s">
        <v>53</v>
      </c>
    </row>
    <row r="22" spans="1:5" x14ac:dyDescent="0.2">
      <c r="A22" s="1" t="b">
        <f>NOT(ISERROR(HLOOKUP(B22,Works!$1:$1,1,FALSE)))</f>
        <v>1</v>
      </c>
      <c r="B22" s="1" t="s">
        <v>13</v>
      </c>
      <c r="D22" s="1" t="s">
        <v>54</v>
      </c>
      <c r="E22" s="1" t="s">
        <v>55</v>
      </c>
    </row>
    <row r="23" spans="1:5" x14ac:dyDescent="0.2">
      <c r="A23" s="1" t="b">
        <f>NOT(ISERROR(HLOOKUP(B23,Works!$1:$1,1,FALSE)))</f>
        <v>1</v>
      </c>
      <c r="B23" s="1" t="s">
        <v>9</v>
      </c>
      <c r="D23" s="1" t="s">
        <v>10</v>
      </c>
      <c r="E23" s="1" t="s">
        <v>37</v>
      </c>
    </row>
    <row r="25" spans="1:5" ht="29" x14ac:dyDescent="0.35">
      <c r="A25" s="2" t="s">
        <v>28</v>
      </c>
    </row>
    <row r="26" spans="1:5" x14ac:dyDescent="0.2">
      <c r="A26" s="3" t="s">
        <v>26</v>
      </c>
    </row>
    <row r="27" spans="1:5" x14ac:dyDescent="0.2">
      <c r="A27" s="1" t="b">
        <f>NOT(ISERROR(HLOOKUP(B27,WorkImages!$1:$1,1,FALSE)))</f>
        <v>1</v>
      </c>
      <c r="B27" s="1" t="s">
        <v>14</v>
      </c>
      <c r="D27" s="1" t="s">
        <v>118</v>
      </c>
      <c r="E27" s="1" t="s">
        <v>104</v>
      </c>
    </row>
    <row r="28" spans="1:5" x14ac:dyDescent="0.2">
      <c r="A28" s="1" t="b">
        <f>NOT(ISERROR(HLOOKUP(B28,WorkImages!$1:$1,1,FALSE)))</f>
        <v>1</v>
      </c>
      <c r="B28" s="1" t="s">
        <v>3</v>
      </c>
      <c r="D28" s="1" t="s">
        <v>119</v>
      </c>
      <c r="E28" s="1" t="s">
        <v>61</v>
      </c>
    </row>
    <row r="29" spans="1:5" x14ac:dyDescent="0.2">
      <c r="A29" s="1" t="b">
        <f>NOT(ISERROR(HLOOKUP(B29,WorkImages!$1:$1,1,FALSE)))</f>
        <v>1</v>
      </c>
      <c r="B29" s="1" t="s">
        <v>15</v>
      </c>
      <c r="C29" s="1" t="s">
        <v>80</v>
      </c>
      <c r="D29" s="1" t="s">
        <v>62</v>
      </c>
      <c r="E29" s="1" t="s">
        <v>63</v>
      </c>
    </row>
    <row r="30" spans="1:5" x14ac:dyDescent="0.2">
      <c r="A30" s="1" t="b">
        <f>NOT(ISERROR(HLOOKUP(B30,WorkImages!$1:$1,1,FALSE)))</f>
        <v>1</v>
      </c>
      <c r="B30" s="1" t="s">
        <v>16</v>
      </c>
      <c r="D30" s="1" t="s">
        <v>121</v>
      </c>
      <c r="E30" s="1" t="s">
        <v>64</v>
      </c>
    </row>
    <row r="31" spans="1:5" x14ac:dyDescent="0.2">
      <c r="A31" s="1" t="b">
        <f>NOT(ISERROR(HLOOKUP(B31,WorkImages!$1:$1,1,FALSE)))</f>
        <v>1</v>
      </c>
      <c r="B31" s="1" t="s">
        <v>17</v>
      </c>
      <c r="D31" s="1" t="s">
        <v>25</v>
      </c>
      <c r="E31" s="1" t="s">
        <v>65</v>
      </c>
    </row>
    <row r="32" spans="1:5" x14ac:dyDescent="0.2">
      <c r="A32" s="1" t="b">
        <f>NOT(ISERROR(HLOOKUP(B32,WorkImages!$1:$1,1,FALSE)))</f>
        <v>1</v>
      </c>
      <c r="B32" s="1" t="s">
        <v>86</v>
      </c>
      <c r="D32" s="1" t="s">
        <v>87</v>
      </c>
      <c r="E32" s="1" t="s">
        <v>88</v>
      </c>
    </row>
    <row r="33" spans="1:5" x14ac:dyDescent="0.2">
      <c r="A33" s="1" t="b">
        <f>NOT(ISERROR(HLOOKUP(B33,WorkImages!$1:$1,1,FALSE)))</f>
        <v>1</v>
      </c>
      <c r="B33" s="1" t="s">
        <v>67</v>
      </c>
      <c r="D33" s="1" t="s">
        <v>70</v>
      </c>
      <c r="E33" s="1" t="s">
        <v>66</v>
      </c>
    </row>
    <row r="34" spans="1:5" x14ac:dyDescent="0.2">
      <c r="A34" s="1" t="b">
        <f>NOT(ISERROR(HLOOKUP(B34,WorkImages!$1:$1,1,FALSE)))</f>
        <v>1</v>
      </c>
      <c r="B34" s="1" t="s">
        <v>9</v>
      </c>
      <c r="D34" s="1" t="s">
        <v>68</v>
      </c>
      <c r="E34" s="1" t="s">
        <v>69</v>
      </c>
    </row>
    <row r="36" spans="1:5" ht="29" x14ac:dyDescent="0.35">
      <c r="A36" s="2" t="s">
        <v>111</v>
      </c>
    </row>
    <row r="37" spans="1:5" x14ac:dyDescent="0.2">
      <c r="A37" s="3" t="s">
        <v>112</v>
      </c>
    </row>
    <row r="38" spans="1:5" x14ac:dyDescent="0.2">
      <c r="A38" s="1" t="b">
        <f>NOT(ISERROR(HLOOKUP(B38,WorkAttachments!$1:$1,1,FALSE)))</f>
        <v>1</v>
      </c>
      <c r="B38" s="1" t="s">
        <v>115</v>
      </c>
      <c r="D38" s="1" t="s">
        <v>117</v>
      </c>
    </row>
    <row r="39" spans="1:5" x14ac:dyDescent="0.2">
      <c r="A39" s="1" t="b">
        <f>NOT(ISERROR(HLOOKUP(B39,WorkAttachments!$1:$1,1,FALSE)))</f>
        <v>1</v>
      </c>
      <c r="B39" s="1" t="s">
        <v>3</v>
      </c>
      <c r="D39" s="1" t="s">
        <v>119</v>
      </c>
    </row>
    <row r="40" spans="1:5" x14ac:dyDescent="0.2">
      <c r="A40" s="1" t="b">
        <f>NOT(ISERROR(HLOOKUP(B40,WorkAttachments!$1:$1,1,FALSE)))</f>
        <v>1</v>
      </c>
      <c r="B40" s="1" t="s">
        <v>16</v>
      </c>
      <c r="D40" s="1" t="s">
        <v>122</v>
      </c>
      <c r="E40" s="1" t="s">
        <v>116</v>
      </c>
    </row>
    <row r="41" spans="1:5" x14ac:dyDescent="0.2">
      <c r="A41" s="1" t="b">
        <f>NOT(ISERROR(HLOOKUP(B41,WorkAttachments!$1:$1,1,FALSE)))</f>
        <v>1</v>
      </c>
      <c r="B41" s="1" t="s">
        <v>109</v>
      </c>
      <c r="D41" s="1" t="s">
        <v>113</v>
      </c>
      <c r="E41" s="1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T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" sqref="D4"/>
    </sheetView>
  </sheetViews>
  <sheetFormatPr baseColWidth="10" defaultRowHeight="17" x14ac:dyDescent="0.2"/>
  <cols>
    <col min="1" max="1" width="20.83203125" style="1" customWidth="1"/>
    <col min="2" max="2" width="22.83203125" style="1" customWidth="1"/>
    <col min="3" max="3" width="26.83203125" style="1" customWidth="1"/>
    <col min="4" max="4" width="20.83203125" style="1" customWidth="1"/>
    <col min="5" max="5" width="10.83203125" style="1" customWidth="1"/>
    <col min="6" max="6" width="16.6640625" style="1" customWidth="1"/>
    <col min="7" max="8" width="20.83203125" style="1" customWidth="1"/>
    <col min="9" max="9" width="24.5" style="1" bestFit="1" customWidth="1"/>
    <col min="10" max="10" width="10.83203125" style="1"/>
    <col min="11" max="15" width="20.83203125" style="1" customWidth="1"/>
    <col min="16" max="16" width="20.83203125" style="8" customWidth="1"/>
    <col min="17" max="20" width="20.83203125" style="1" customWidth="1"/>
    <col min="21" max="16384" width="10.83203125" style="1"/>
  </cols>
  <sheetData>
    <row r="1" spans="1:20" s="3" customFormat="1" x14ac:dyDescent="0.2">
      <c r="A1" s="3" t="s">
        <v>3</v>
      </c>
      <c r="B1" s="3" t="s">
        <v>89</v>
      </c>
      <c r="C1" s="3" t="s">
        <v>91</v>
      </c>
      <c r="D1" s="3" t="s">
        <v>4</v>
      </c>
      <c r="E1" s="3" t="s">
        <v>5</v>
      </c>
      <c r="F1" s="3" t="s">
        <v>18</v>
      </c>
      <c r="G1" s="3" t="s">
        <v>6</v>
      </c>
      <c r="H1" s="3" t="s">
        <v>76</v>
      </c>
      <c r="I1" s="3" t="s">
        <v>77</v>
      </c>
      <c r="J1" s="3" t="s">
        <v>24</v>
      </c>
      <c r="K1" s="3" t="s">
        <v>8</v>
      </c>
      <c r="L1" s="3" t="s">
        <v>21</v>
      </c>
      <c r="M1" s="3" t="s">
        <v>22</v>
      </c>
      <c r="N1" s="3" t="s">
        <v>23</v>
      </c>
      <c r="O1" s="3" t="s">
        <v>7</v>
      </c>
      <c r="P1" s="7" t="s">
        <v>35</v>
      </c>
      <c r="Q1" s="3" t="s">
        <v>56</v>
      </c>
      <c r="R1" s="3" t="s">
        <v>11</v>
      </c>
      <c r="S1" s="3" t="s">
        <v>13</v>
      </c>
      <c r="T1" s="3" t="s">
        <v>9</v>
      </c>
    </row>
    <row r="2" spans="1:20" x14ac:dyDescent="0.2">
      <c r="A2" s="6" t="s">
        <v>83</v>
      </c>
      <c r="B2" s="6" t="s">
        <v>94</v>
      </c>
      <c r="C2" s="6" t="s">
        <v>94</v>
      </c>
      <c r="D2" s="1" t="s">
        <v>84</v>
      </c>
      <c r="E2" s="1">
        <v>2024</v>
      </c>
      <c r="F2" s="1">
        <v>2024</v>
      </c>
      <c r="G2" s="1" t="s">
        <v>85</v>
      </c>
      <c r="H2" s="1" t="s">
        <v>95</v>
      </c>
      <c r="I2" s="1" t="s">
        <v>96</v>
      </c>
      <c r="K2" s="1" t="s">
        <v>97</v>
      </c>
      <c r="L2" s="1">
        <v>42</v>
      </c>
      <c r="M2" s="1">
        <v>29.7</v>
      </c>
      <c r="O2" s="1" t="s">
        <v>101</v>
      </c>
      <c r="P2" s="8">
        <v>46046</v>
      </c>
      <c r="Q2" s="1" t="s">
        <v>98</v>
      </c>
    </row>
    <row r="3" spans="1:20" x14ac:dyDescent="0.2">
      <c r="A3" s="6" t="s">
        <v>99</v>
      </c>
      <c r="B3" s="6" t="s">
        <v>94</v>
      </c>
      <c r="C3" s="6" t="s">
        <v>94</v>
      </c>
      <c r="D3" s="1" t="s">
        <v>124</v>
      </c>
      <c r="E3" s="1">
        <v>2024</v>
      </c>
      <c r="F3" s="1">
        <v>2024</v>
      </c>
      <c r="G3" s="1" t="s">
        <v>85</v>
      </c>
      <c r="H3" s="1" t="s">
        <v>95</v>
      </c>
      <c r="I3" s="1" t="s">
        <v>123</v>
      </c>
      <c r="K3" s="1" t="s">
        <v>100</v>
      </c>
      <c r="L3" s="1">
        <v>29.7</v>
      </c>
      <c r="M3" s="1">
        <v>42</v>
      </c>
      <c r="O3" s="1" t="s">
        <v>101</v>
      </c>
      <c r="P3" s="8">
        <v>46046</v>
      </c>
      <c r="Q3" s="1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102</v>
      </c>
      <c r="B2" s="6" t="s">
        <v>83</v>
      </c>
      <c r="C2" s="1" t="s">
        <v>103</v>
      </c>
      <c r="D2" s="1" t="s">
        <v>105</v>
      </c>
      <c r="E2" s="1" t="s">
        <v>106</v>
      </c>
      <c r="F2" s="1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115</v>
      </c>
      <c r="B1" s="3" t="s">
        <v>3</v>
      </c>
      <c r="C1" s="3" t="s">
        <v>16</v>
      </c>
      <c r="D1" s="3" t="s">
        <v>109</v>
      </c>
    </row>
    <row r="2" spans="1:4" x14ac:dyDescent="0.2">
      <c r="A2" s="6" t="s">
        <v>102</v>
      </c>
      <c r="B2" s="6" t="s">
        <v>83</v>
      </c>
      <c r="C2" s="1" t="s">
        <v>108</v>
      </c>
      <c r="D2" s="1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Works</vt:lpstr>
      <vt:lpstr>WorkImages</vt:lpstr>
      <vt:lpstr>WorkAttachments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2026-01-26T22:26:54Z</dcterms:modified>
</cp:coreProperties>
</file>