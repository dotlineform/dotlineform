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lf/Developer/dotlineform/dotlineform/data/"/>
    </mc:Choice>
  </mc:AlternateContent>
  <xr:revisionPtr revIDLastSave="0" documentId="13_ncr:1_{0CE05A7C-C373-BD48-9ED6-2FE5568F3320}" xr6:coauthVersionLast="47" xr6:coauthVersionMax="47" xr10:uidLastSave="{00000000-0000-0000-0000-000000000000}"/>
  <bookViews>
    <workbookView xWindow="0" yWindow="660" windowWidth="34560" windowHeight="20600" activeTab="1" xr2:uid="{3340F1A4-2CEC-C74D-85F7-446226E10E48}"/>
  </bookViews>
  <sheets>
    <sheet name="schema" sheetId="1" r:id="rId1"/>
    <sheet name="Works" sheetId="2" r:id="rId2"/>
    <sheet name="WorkImages" sheetId="3" r:id="rId3"/>
    <sheet name="WorkAttachments" sheetId="5" r:id="rId4"/>
    <sheet name="lookups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9" i="1" l="1"/>
  <c r="A38" i="1"/>
  <c r="A41" i="1"/>
  <c r="A40" i="1"/>
  <c r="A5" i="1"/>
  <c r="A6" i="1"/>
  <c r="A32" i="1"/>
  <c r="A12" i="1"/>
  <c r="A13" i="1"/>
  <c r="A34" i="1"/>
  <c r="A33" i="1"/>
  <c r="A31" i="1"/>
  <c r="A30" i="1"/>
  <c r="A29" i="1"/>
  <c r="A28" i="1"/>
  <c r="A27" i="1"/>
  <c r="A22" i="1"/>
  <c r="A21" i="1"/>
  <c r="A20" i="1"/>
  <c r="A16" i="1"/>
  <c r="A15" i="1"/>
  <c r="A14" i="1"/>
  <c r="A23" i="1"/>
  <c r="A19" i="1"/>
  <c r="A18" i="1"/>
  <c r="A17" i="1"/>
  <c r="A10" i="1"/>
  <c r="A11" i="1"/>
  <c r="A9" i="1"/>
  <c r="A8" i="1"/>
  <c r="A7" i="1"/>
  <c r="A4" i="1"/>
</calcChain>
</file>

<file path=xl/sharedStrings.xml><?xml version="1.0" encoding="utf-8"?>
<sst xmlns="http://schemas.openxmlformats.org/spreadsheetml/2006/main" count="176" uniqueCount="123">
  <si>
    <t>Column name</t>
  </si>
  <si>
    <t>Description</t>
  </si>
  <si>
    <t>Purpose</t>
  </si>
  <si>
    <t>work_id</t>
  </si>
  <si>
    <t>title</t>
  </si>
  <si>
    <t>year</t>
  </si>
  <si>
    <t>series</t>
  </si>
  <si>
    <t>tags</t>
  </si>
  <si>
    <t>orientation</t>
  </si>
  <si>
    <t>notes_private</t>
  </si>
  <si>
    <t>Internal-only notes (not exported).</t>
  </si>
  <si>
    <t>provenance</t>
  </si>
  <si>
    <t>Ownership/loan/sales notes (usually private).</t>
  </si>
  <si>
    <t>checksum</t>
  </si>
  <si>
    <t>image_id</t>
  </si>
  <si>
    <t>role</t>
  </si>
  <si>
    <t>file</t>
  </si>
  <si>
    <t>caption</t>
  </si>
  <si>
    <t>year_display</t>
  </si>
  <si>
    <t>when year is not known or approximate e.g. c. 1990</t>
  </si>
  <si>
    <t>for display in UI</t>
  </si>
  <si>
    <t>height_cm</t>
  </si>
  <si>
    <t>width_cm</t>
  </si>
  <si>
    <t>depth_cm</t>
  </si>
  <si>
    <t>duration</t>
  </si>
  <si>
    <t>optional, short</t>
  </si>
  <si>
    <t>supplementary images</t>
  </si>
  <si>
    <t>master table (one row per work)</t>
  </si>
  <si>
    <t>WorkImages</t>
  </si>
  <si>
    <t>Works</t>
  </si>
  <si>
    <t>in table</t>
  </si>
  <si>
    <t>Works.tags</t>
  </si>
  <si>
    <t>WorkImages.role</t>
  </si>
  <si>
    <t>physical dimensions</t>
  </si>
  <si>
    <t>Lookup</t>
  </si>
  <si>
    <t>catalogue_date</t>
  </si>
  <si>
    <t>portrait | landscape | square</t>
  </si>
  <si>
    <t>commentary and process notes.</t>
  </si>
  <si>
    <t>title. not necessarily unique e.g. 'untitled'</t>
  </si>
  <si>
    <t>creation year, integer</t>
  </si>
  <si>
    <t>primary key for filenames, URLs, image object keys, and cross-references.</t>
  </si>
  <si>
    <t>display name</t>
  </si>
  <si>
    <t>sorting, filtering, and context.</t>
  </si>
  <si>
    <t>series name if work is part of a group</t>
  </si>
  <si>
    <t>semicolon-separated tags e.g., wetlands;memory;ink</t>
  </si>
  <si>
    <t>search and thematic grouping.</t>
  </si>
  <si>
    <t>date entered into the catalogue</t>
  </si>
  <si>
    <t>progress tracking, “recently added”</t>
  </si>
  <si>
    <t>layout decisions</t>
  </si>
  <si>
    <t>physical height cm</t>
  </si>
  <si>
    <t>physical width cm</t>
  </si>
  <si>
    <t>physical depth cm</t>
  </si>
  <si>
    <t>framed or sculptural context</t>
  </si>
  <si>
    <t>internal record keeping; avoid publishing sensitive details.</t>
  </si>
  <si>
    <t>hash of work item page</t>
  </si>
  <si>
    <t>check if metadata has been updated and needs committing</t>
  </si>
  <si>
    <t>storage_location</t>
  </si>
  <si>
    <t>storage reference e.g. Box 3</t>
  </si>
  <si>
    <t>internal logistics e.g. where is this drawing stored?</t>
  </si>
  <si>
    <t>e.g. ink on paper, digital c-type print, 1080p video</t>
  </si>
  <si>
    <t>for work item description</t>
  </si>
  <si>
    <t>join supplemental images to a work page.</t>
  </si>
  <si>
    <t>detail | wip | install | alternate</t>
  </si>
  <si>
    <t>consistent meaning and optional grouping on the work page.</t>
  </si>
  <si>
    <t>not derived from other fields, leave work-specific and follow master image naming</t>
  </si>
  <si>
    <t>context to detail / wip images.</t>
  </si>
  <si>
    <t>progress timeline context if available</t>
  </si>
  <si>
    <t>image_date</t>
  </si>
  <si>
    <t>internal-only notes (not exported)</t>
  </si>
  <si>
    <t>admin commentary and process notes.</t>
  </si>
  <si>
    <t>optional date e.g. WIP date</t>
  </si>
  <si>
    <t>supports curated groupings and 'more in this series'</t>
  </si>
  <si>
    <t>e.g. drawing, painting, photography</t>
  </si>
  <si>
    <t>for audio / video works</t>
  </si>
  <si>
    <t>taxonomy, filtering, search</t>
  </si>
  <si>
    <t>yes</t>
  </si>
  <si>
    <t>medium_type</t>
  </si>
  <si>
    <t>medium_caption</t>
  </si>
  <si>
    <t>Works.medium_type</t>
  </si>
  <si>
    <t>yes - in cell list</t>
  </si>
  <si>
    <t>yes - lookup list</t>
  </si>
  <si>
    <t>Works.storage_location</t>
  </si>
  <si>
    <t>for reference only - lookup list</t>
  </si>
  <si>
    <t>00286</t>
  </si>
  <si>
    <t>untitled</t>
  </si>
  <si>
    <t>curve poems</t>
  </si>
  <si>
    <t>alt</t>
  </si>
  <si>
    <t>alt description e.g. 'Detail of work 00286'</t>
  </si>
  <si>
    <t>accessibility</t>
  </si>
  <si>
    <t>creators</t>
  </si>
  <si>
    <t>structured list e.g. Mike Davies|Artist; Jane Smith|Collaborator</t>
  </si>
  <si>
    <t>artist_display</t>
  </si>
  <si>
    <t>an override when you need a specific phrasing (“with”, “after”, “in collaboration with”, etc.)</t>
  </si>
  <si>
    <t>public label</t>
  </si>
  <si>
    <t>Michael Davies</t>
  </si>
  <si>
    <t>drawing</t>
  </si>
  <si>
    <t>pencil on paper</t>
  </si>
  <si>
    <t>portrait</t>
  </si>
  <si>
    <t>box 2 (A3)</t>
  </si>
  <si>
    <t>00361</t>
  </si>
  <si>
    <t>landscape</t>
  </si>
  <si>
    <t>curves;intuition</t>
  </si>
  <si>
    <t>001</t>
  </si>
  <si>
    <t>detail</t>
  </si>
  <si>
    <t>reference for image rows; debugging, curation, sorting</t>
  </si>
  <si>
    <t>00286-detail-001.webp</t>
  </si>
  <si>
    <t>Detail 1</t>
  </si>
  <si>
    <t>Detail 1 of work 00286</t>
  </si>
  <si>
    <t>00286-work-card.pdf</t>
  </si>
  <si>
    <t>label</t>
  </si>
  <si>
    <t>work card (PDF)</t>
  </si>
  <si>
    <t>WorkAttachments</t>
  </si>
  <si>
    <t>file downloads</t>
  </si>
  <si>
    <t>e.g. 'work card (PDF)'</t>
  </si>
  <si>
    <t>list label</t>
  </si>
  <si>
    <t>attachment_id</t>
  </si>
  <si>
    <t>file name in the scope of the work item</t>
  </si>
  <si>
    <t>ID for the attachment file e.g. 001</t>
  </si>
  <si>
    <t>ID for the image record e.g. 001</t>
  </si>
  <si>
    <t>foreign key to work.work_id e.g. 00286</t>
  </si>
  <si>
    <t>sequential ID (e.g. 00286), text</t>
  </si>
  <si>
    <t>filename e.g. 00286-detail-001.webp</t>
  </si>
  <si>
    <t>file name e.g. '00286-work-card.pdf' (all file types are treated as 'attachments')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</si>
</sst>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\,&quot;yes&quot;\,&quot;yes&quot;\,&quot;yes&quot;"/>
  </numFmts>
  <fonts count="4" x14ac:knownFonts="1">
    <font>
      <sz val="12"/>
      <color theme="1"/>
      <name val="Aptos Narrow"/>
      <family val="2"/>
      <scheme val="minor"/>
    </font>
    <font>
      <sz val="13"/>
      <color theme="1"/>
      <name val="Helvetica Neue"/>
      <family val="2"/>
    </font>
    <font>
      <sz val="22"/>
      <color theme="1"/>
      <name val="Aptos Narrow"/>
      <family val="2"/>
      <scheme val="minor"/>
    </font>
    <font>
      <b/>
      <sz val="13"/>
      <color theme="1"/>
      <name val="Helvetica Neue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3" fillId="0" borderId="0" xfId="0" applyNumberFormat="1" applyFont="1"/>
    <xf numFmtId="164" fontId="1" fillId="0" borderId="0" xfId="0" applyNumberFormat="1" applyFont="1"/>
    <xf numFmtId="0" fontId="1" fillId="0" borderId="0" xfId="0" quotePrefix="1" applyFont="1"/>
    <xf numFmtId="14" fontId="3" fillId="0" borderId="0" xfId="0" applyNumberFormat="1" applyFont="1"/>
    <xf numFmtId="1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6AED1-6BEA-5040-AE1C-85A2957805DD}">
  <sheetPr>
    <tabColor theme="6" tint="0.39997558519241921"/>
  </sheetPr>
  <dimension ref="A1:E41"/>
  <sheetViews>
    <sheetView topLeftCell="A6" zoomScaleNormal="100" workbookViewId="0">
      <selection activeCell="D41" sqref="D41"/>
    </sheetView>
  </sheetViews>
  <sheetFormatPr baseColWidth="10" defaultRowHeight="17" x14ac:dyDescent="0.2"/>
  <cols>
    <col min="1" max="1" width="11.83203125" style="5" customWidth="1"/>
    <col min="2" max="2" width="18.5" style="1" bestFit="1" customWidth="1"/>
    <col min="3" max="3" width="30.6640625" style="1" bestFit="1" customWidth="1"/>
    <col min="4" max="4" width="91" style="1" bestFit="1" customWidth="1"/>
    <col min="5" max="5" width="82.5" style="1" customWidth="1"/>
  </cols>
  <sheetData>
    <row r="1" spans="1:5" ht="29" x14ac:dyDescent="0.35">
      <c r="A1" s="2" t="s">
        <v>29</v>
      </c>
    </row>
    <row r="2" spans="1:5" x14ac:dyDescent="0.2">
      <c r="A2" s="3" t="s">
        <v>27</v>
      </c>
    </row>
    <row r="3" spans="1:5" x14ac:dyDescent="0.2">
      <c r="A3" s="4" t="s">
        <v>30</v>
      </c>
      <c r="B3" s="3" t="s">
        <v>0</v>
      </c>
      <c r="C3" s="3" t="s">
        <v>34</v>
      </c>
      <c r="D3" s="3" t="s">
        <v>1</v>
      </c>
      <c r="E3" s="3" t="s">
        <v>2</v>
      </c>
    </row>
    <row r="4" spans="1:5" x14ac:dyDescent="0.2">
      <c r="A4" s="1" t="b">
        <f>NOT(ISERROR(HLOOKUP(B4,Works!$1:$1,1,FALSE)))</f>
        <v>1</v>
      </c>
      <c r="B4" s="1" t="s">
        <v>3</v>
      </c>
      <c r="D4" s="1" t="s">
        <v>120</v>
      </c>
      <c r="E4" s="1" t="s">
        <v>40</v>
      </c>
    </row>
    <row r="5" spans="1:5" x14ac:dyDescent="0.2">
      <c r="A5" s="1" t="b">
        <f>NOT(ISERROR(HLOOKUP(B5,Works!$1:$1,1,FALSE)))</f>
        <v>1</v>
      </c>
      <c r="B5" s="1" t="s">
        <v>89</v>
      </c>
      <c r="D5" s="1" t="s">
        <v>90</v>
      </c>
      <c r="E5" s="1" t="s">
        <v>93</v>
      </c>
    </row>
    <row r="6" spans="1:5" x14ac:dyDescent="0.2">
      <c r="A6" s="1" t="b">
        <f>NOT(ISERROR(HLOOKUP(B6,Works!$1:$1,1,FALSE)))</f>
        <v>1</v>
      </c>
      <c r="B6" s="1" t="s">
        <v>91</v>
      </c>
      <c r="D6" s="1" t="s">
        <v>92</v>
      </c>
      <c r="E6" s="1" t="s">
        <v>93</v>
      </c>
    </row>
    <row r="7" spans="1:5" x14ac:dyDescent="0.2">
      <c r="A7" s="1" t="b">
        <f>NOT(ISERROR(HLOOKUP(B7,Works!$1:$1,1,FALSE)))</f>
        <v>1</v>
      </c>
      <c r="B7" s="1" t="s">
        <v>4</v>
      </c>
      <c r="D7" s="1" t="s">
        <v>38</v>
      </c>
      <c r="E7" s="1" t="s">
        <v>41</v>
      </c>
    </row>
    <row r="8" spans="1:5" x14ac:dyDescent="0.2">
      <c r="A8" s="1" t="b">
        <f>NOT(ISERROR(HLOOKUP(B8,Works!$1:$1,1,FALSE)))</f>
        <v>1</v>
      </c>
      <c r="B8" s="1" t="s">
        <v>5</v>
      </c>
      <c r="D8" s="1" t="s">
        <v>39</v>
      </c>
      <c r="E8" s="1" t="s">
        <v>42</v>
      </c>
    </row>
    <row r="9" spans="1:5" x14ac:dyDescent="0.2">
      <c r="A9" s="1" t="b">
        <f>NOT(ISERROR(HLOOKUP(B9,Works!$1:$1,1,FALSE)))</f>
        <v>1</v>
      </c>
      <c r="B9" s="1" t="s">
        <v>18</v>
      </c>
      <c r="D9" s="1" t="s">
        <v>20</v>
      </c>
      <c r="E9" s="1" t="s">
        <v>19</v>
      </c>
    </row>
    <row r="10" spans="1:5" x14ac:dyDescent="0.2">
      <c r="A10" s="1" t="b">
        <f>NOT(ISERROR(HLOOKUP(B10,Works!$1:$1,1,FALSE)))</f>
        <v>1</v>
      </c>
      <c r="B10" s="1" t="s">
        <v>6</v>
      </c>
      <c r="D10" s="1" t="s">
        <v>43</v>
      </c>
      <c r="E10" s="1" t="s">
        <v>71</v>
      </c>
    </row>
    <row r="11" spans="1:5" x14ac:dyDescent="0.2">
      <c r="A11" s="1" t="b">
        <f>NOT(ISERROR(HLOOKUP(B11,Works!$1:$1,1,FALSE)))</f>
        <v>1</v>
      </c>
      <c r="B11" s="1" t="s">
        <v>76</v>
      </c>
      <c r="C11" s="1" t="s">
        <v>75</v>
      </c>
      <c r="D11" s="1" t="s">
        <v>72</v>
      </c>
      <c r="E11" s="1" t="s">
        <v>74</v>
      </c>
    </row>
    <row r="12" spans="1:5" x14ac:dyDescent="0.2">
      <c r="A12" s="1" t="b">
        <f>NOT(ISERROR(HLOOKUP(B12,Works!$1:$1,1,FALSE)))</f>
        <v>1</v>
      </c>
      <c r="B12" s="1" t="s">
        <v>77</v>
      </c>
      <c r="D12" s="1" t="s">
        <v>59</v>
      </c>
      <c r="E12" s="1" t="s">
        <v>60</v>
      </c>
    </row>
    <row r="13" spans="1:5" x14ac:dyDescent="0.2">
      <c r="A13" s="1" t="b">
        <f>NOT(ISERROR(HLOOKUP(B13,Works!$1:$1,1,FALSE)))</f>
        <v>1</v>
      </c>
      <c r="B13" s="1" t="s">
        <v>24</v>
      </c>
      <c r="D13" s="1" t="s">
        <v>73</v>
      </c>
      <c r="E13" s="1" t="s">
        <v>60</v>
      </c>
    </row>
    <row r="14" spans="1:5" x14ac:dyDescent="0.2">
      <c r="A14" s="1" t="b">
        <f>NOT(ISERROR(HLOOKUP(B14,Works!$1:$1,1,FALSE)))</f>
        <v>1</v>
      </c>
      <c r="B14" s="1" t="s">
        <v>21</v>
      </c>
      <c r="D14" s="1" t="s">
        <v>49</v>
      </c>
      <c r="E14" s="1" t="s">
        <v>33</v>
      </c>
    </row>
    <row r="15" spans="1:5" x14ac:dyDescent="0.2">
      <c r="A15" s="1" t="b">
        <f>NOT(ISERROR(HLOOKUP(B15,Works!$1:$1,1,FALSE)))</f>
        <v>1</v>
      </c>
      <c r="B15" s="1" t="s">
        <v>22</v>
      </c>
      <c r="D15" s="1" t="s">
        <v>50</v>
      </c>
      <c r="E15" s="1" t="s">
        <v>33</v>
      </c>
    </row>
    <row r="16" spans="1:5" x14ac:dyDescent="0.2">
      <c r="A16" s="1" t="b">
        <f>NOT(ISERROR(HLOOKUP(B16,Works!$1:$1,1,FALSE)))</f>
        <v>1</v>
      </c>
      <c r="B16" s="1" t="s">
        <v>23</v>
      </c>
      <c r="D16" s="1" t="s">
        <v>51</v>
      </c>
      <c r="E16" s="1" t="s">
        <v>52</v>
      </c>
    </row>
    <row r="17" spans="1:5" x14ac:dyDescent="0.2">
      <c r="A17" s="1" t="b">
        <f>NOT(ISERROR(HLOOKUP(B17,Works!$1:$1,1,FALSE)))</f>
        <v>1</v>
      </c>
      <c r="B17" s="1" t="s">
        <v>7</v>
      </c>
      <c r="C17" s="1" t="s">
        <v>82</v>
      </c>
      <c r="D17" s="1" t="s">
        <v>44</v>
      </c>
      <c r="E17" s="1" t="s">
        <v>45</v>
      </c>
    </row>
    <row r="18" spans="1:5" x14ac:dyDescent="0.2">
      <c r="A18" s="1" t="b">
        <f>NOT(ISERROR(HLOOKUP(B18,Works!$1:$1,1,FALSE)))</f>
        <v>1</v>
      </c>
      <c r="B18" s="1" t="s">
        <v>35</v>
      </c>
      <c r="D18" s="1" t="s">
        <v>46</v>
      </c>
      <c r="E18" s="1" t="s">
        <v>47</v>
      </c>
    </row>
    <row r="19" spans="1:5" x14ac:dyDescent="0.2">
      <c r="A19" s="1" t="b">
        <f>NOT(ISERROR(HLOOKUP(B19,Works!$1:$1,1,FALSE)))</f>
        <v>1</v>
      </c>
      <c r="B19" s="1" t="s">
        <v>8</v>
      </c>
      <c r="C19" s="1" t="s">
        <v>79</v>
      </c>
      <c r="D19" s="1" t="s">
        <v>36</v>
      </c>
      <c r="E19" s="1" t="s">
        <v>48</v>
      </c>
    </row>
    <row r="20" spans="1:5" x14ac:dyDescent="0.2">
      <c r="A20" s="1" t="b">
        <f>NOT(ISERROR(HLOOKUP(B20,Works!$1:$1,1,FALSE)))</f>
        <v>1</v>
      </c>
      <c r="B20" s="1" t="s">
        <v>56</v>
      </c>
      <c r="C20" s="1" t="s">
        <v>80</v>
      </c>
      <c r="D20" s="1" t="s">
        <v>57</v>
      </c>
      <c r="E20" s="1" t="s">
        <v>58</v>
      </c>
    </row>
    <row r="21" spans="1:5" x14ac:dyDescent="0.2">
      <c r="A21" s="1" t="b">
        <f>NOT(ISERROR(HLOOKUP(B21,Works!$1:$1,1,FALSE)))</f>
        <v>1</v>
      </c>
      <c r="B21" s="1" t="s">
        <v>11</v>
      </c>
      <c r="D21" s="1" t="s">
        <v>12</v>
      </c>
      <c r="E21" s="1" t="s">
        <v>53</v>
      </c>
    </row>
    <row r="22" spans="1:5" x14ac:dyDescent="0.2">
      <c r="A22" s="1" t="b">
        <f>NOT(ISERROR(HLOOKUP(B22,Works!$1:$1,1,FALSE)))</f>
        <v>1</v>
      </c>
      <c r="B22" s="1" t="s">
        <v>13</v>
      </c>
      <c r="D22" s="1" t="s">
        <v>54</v>
      </c>
      <c r="E22" s="1" t="s">
        <v>55</v>
      </c>
    </row>
    <row r="23" spans="1:5" x14ac:dyDescent="0.2">
      <c r="A23" s="1" t="b">
        <f>NOT(ISERROR(HLOOKUP(B23,Works!$1:$1,1,FALSE)))</f>
        <v>1</v>
      </c>
      <c r="B23" s="1" t="s">
        <v>9</v>
      </c>
      <c r="D23" s="1" t="s">
        <v>10</v>
      </c>
      <c r="E23" s="1" t="s">
        <v>37</v>
      </c>
    </row>
    <row r="25" spans="1:5" ht="29" x14ac:dyDescent="0.35">
      <c r="A25" s="2" t="s">
        <v>28</v>
      </c>
    </row>
    <row r="26" spans="1:5" x14ac:dyDescent="0.2">
      <c r="A26" s="3" t="s">
        <v>26</v>
      </c>
    </row>
    <row r="27" spans="1:5" x14ac:dyDescent="0.2">
      <c r="A27" s="1" t="b">
        <f>NOT(ISERROR(HLOOKUP(B27,WorkImages!$1:$1,1,FALSE)))</f>
        <v>1</v>
      </c>
      <c r="B27" s="1" t="s">
        <v>14</v>
      </c>
      <c r="D27" s="1" t="s">
        <v>118</v>
      </c>
      <c r="E27" s="1" t="s">
        <v>104</v>
      </c>
    </row>
    <row r="28" spans="1:5" x14ac:dyDescent="0.2">
      <c r="A28" s="1" t="b">
        <f>NOT(ISERROR(HLOOKUP(B28,WorkImages!$1:$1,1,FALSE)))</f>
        <v>1</v>
      </c>
      <c r="B28" s="1" t="s">
        <v>3</v>
      </c>
      <c r="D28" s="1" t="s">
        <v>119</v>
      </c>
      <c r="E28" s="1" t="s">
        <v>61</v>
      </c>
    </row>
    <row r="29" spans="1:5" x14ac:dyDescent="0.2">
      <c r="A29" s="1" t="b">
        <f>NOT(ISERROR(HLOOKUP(B29,WorkImages!$1:$1,1,FALSE)))</f>
        <v>1</v>
      </c>
      <c r="B29" s="1" t="s">
        <v>15</v>
      </c>
      <c r="C29" s="1" t="s">
        <v>80</v>
      </c>
      <c r="D29" s="1" t="s">
        <v>62</v>
      </c>
      <c r="E29" s="1" t="s">
        <v>63</v>
      </c>
    </row>
    <row r="30" spans="1:5" x14ac:dyDescent="0.2">
      <c r="A30" s="1" t="b">
        <f>NOT(ISERROR(HLOOKUP(B30,WorkImages!$1:$1,1,FALSE)))</f>
        <v>1</v>
      </c>
      <c r="B30" s="1" t="s">
        <v>16</v>
      </c>
      <c r="D30" s="1" t="s">
        <v>121</v>
      </c>
      <c r="E30" s="1" t="s">
        <v>64</v>
      </c>
    </row>
    <row r="31" spans="1:5" x14ac:dyDescent="0.2">
      <c r="A31" s="1" t="b">
        <f>NOT(ISERROR(HLOOKUP(B31,WorkImages!$1:$1,1,FALSE)))</f>
        <v>1</v>
      </c>
      <c r="B31" s="1" t="s">
        <v>17</v>
      </c>
      <c r="D31" s="1" t="s">
        <v>25</v>
      </c>
      <c r="E31" s="1" t="s">
        <v>65</v>
      </c>
    </row>
    <row r="32" spans="1:5" x14ac:dyDescent="0.2">
      <c r="A32" s="1" t="b">
        <f>NOT(ISERROR(HLOOKUP(B32,WorkImages!$1:$1,1,FALSE)))</f>
        <v>1</v>
      </c>
      <c r="B32" s="1" t="s">
        <v>86</v>
      </c>
      <c r="D32" s="1" t="s">
        <v>87</v>
      </c>
      <c r="E32" s="1" t="s">
        <v>88</v>
      </c>
    </row>
    <row r="33" spans="1:5" x14ac:dyDescent="0.2">
      <c r="A33" s="1" t="b">
        <f>NOT(ISERROR(HLOOKUP(B33,WorkImages!$1:$1,1,FALSE)))</f>
        <v>1</v>
      </c>
      <c r="B33" s="1" t="s">
        <v>67</v>
      </c>
      <c r="D33" s="1" t="s">
        <v>70</v>
      </c>
      <c r="E33" s="1" t="s">
        <v>66</v>
      </c>
    </row>
    <row r="34" spans="1:5" x14ac:dyDescent="0.2">
      <c r="A34" s="1" t="b">
        <f>NOT(ISERROR(HLOOKUP(B34,WorkImages!$1:$1,1,FALSE)))</f>
        <v>1</v>
      </c>
      <c r="B34" s="1" t="s">
        <v>9</v>
      </c>
      <c r="D34" s="1" t="s">
        <v>68</v>
      </c>
      <c r="E34" s="1" t="s">
        <v>69</v>
      </c>
    </row>
    <row r="36" spans="1:5" ht="29" x14ac:dyDescent="0.35">
      <c r="A36" s="2" t="s">
        <v>111</v>
      </c>
    </row>
    <row r="37" spans="1:5" x14ac:dyDescent="0.2">
      <c r="A37" s="3" t="s">
        <v>112</v>
      </c>
    </row>
    <row r="38" spans="1:5" x14ac:dyDescent="0.2">
      <c r="A38" s="1" t="b">
        <f>NOT(ISERROR(HLOOKUP(B38,WorkAttachments!$1:$1,1,FALSE)))</f>
        <v>1</v>
      </c>
      <c r="B38" s="1" t="s">
        <v>115</v>
      </c>
      <c r="D38" s="1" t="s">
        <v>117</v>
      </c>
    </row>
    <row r="39" spans="1:5" x14ac:dyDescent="0.2">
      <c r="A39" s="1" t="b">
        <f>NOT(ISERROR(HLOOKUP(B39,WorkAttachments!$1:$1,1,FALSE)))</f>
        <v>1</v>
      </c>
      <c r="B39" s="1" t="s">
        <v>3</v>
      </c>
      <c r="D39" s="1" t="s">
        <v>119</v>
      </c>
    </row>
    <row r="40" spans="1:5" x14ac:dyDescent="0.2">
      <c r="A40" s="1" t="b">
        <f>NOT(ISERROR(HLOOKUP(B40,WorkAttachments!$1:$1,1,FALSE)))</f>
        <v>1</v>
      </c>
      <c r="B40" s="1" t="s">
        <v>16</v>
      </c>
      <c r="D40" s="1" t="s">
        <v>122</v>
      </c>
      <c r="E40" s="1" t="s">
        <v>116</v>
      </c>
    </row>
    <row r="41" spans="1:5" x14ac:dyDescent="0.2">
      <c r="A41" s="1" t="b">
        <f>NOT(ISERROR(HLOOKUP(B41,WorkAttachments!$1:$1,1,FALSE)))</f>
        <v>1</v>
      </c>
      <c r="B41" s="1" t="s">
        <v>109</v>
      </c>
      <c r="D41" s="1" t="s">
        <v>113</v>
      </c>
      <c r="E41" s="1" t="s">
        <v>114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6D3C4-93E9-0943-8732-0CF384DB2AB6}">
  <dimension ref="A1:T3"/>
  <sheetViews>
    <sheetView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M4" sqref="M4"/>
    </sheetView>
  </sheetViews>
  <sheetFormatPr baseColWidth="10" defaultRowHeight="17" x14ac:dyDescent="0.2"/>
  <cols>
    <col min="1" max="1" width="20.83203125" style="1" customWidth="1"/>
    <col min="2" max="2" width="22.83203125" style="1" customWidth="1"/>
    <col min="3" max="3" width="26.83203125" style="1" customWidth="1"/>
    <col min="4" max="4" width="20.83203125" style="1" customWidth="1"/>
    <col min="5" max="5" width="10.83203125" style="1" customWidth="1"/>
    <col min="6" max="6" width="16.6640625" style="1" customWidth="1"/>
    <col min="7" max="9" width="20.83203125" style="1" customWidth="1"/>
    <col min="10" max="10" width="10.83203125" style="1"/>
    <col min="11" max="15" width="20.83203125" style="1" customWidth="1"/>
    <col min="16" max="16" width="20.83203125" style="8" customWidth="1"/>
    <col min="17" max="20" width="20.83203125" style="1" customWidth="1"/>
    <col min="21" max="16384" width="10.83203125" style="1"/>
  </cols>
  <sheetData>
    <row r="1" spans="1:20" s="3" customFormat="1" x14ac:dyDescent="0.2">
      <c r="A1" s="3" t="s">
        <v>3</v>
      </c>
      <c r="B1" s="3" t="s">
        <v>89</v>
      </c>
      <c r="C1" s="3" t="s">
        <v>91</v>
      </c>
      <c r="D1" s="3" t="s">
        <v>4</v>
      </c>
      <c r="E1" s="3" t="s">
        <v>5</v>
      </c>
      <c r="F1" s="3" t="s">
        <v>18</v>
      </c>
      <c r="G1" s="3" t="s">
        <v>6</v>
      </c>
      <c r="H1" s="3" t="s">
        <v>76</v>
      </c>
      <c r="I1" s="3" t="s">
        <v>77</v>
      </c>
      <c r="J1" s="3" t="s">
        <v>24</v>
      </c>
      <c r="K1" s="3" t="s">
        <v>8</v>
      </c>
      <c r="L1" s="3" t="s">
        <v>21</v>
      </c>
      <c r="M1" s="3" t="s">
        <v>22</v>
      </c>
      <c r="N1" s="3" t="s">
        <v>23</v>
      </c>
      <c r="O1" s="3" t="s">
        <v>7</v>
      </c>
      <c r="P1" s="7" t="s">
        <v>35</v>
      </c>
      <c r="Q1" s="3" t="s">
        <v>56</v>
      </c>
      <c r="R1" s="3" t="s">
        <v>11</v>
      </c>
      <c r="S1" s="3" t="s">
        <v>13</v>
      </c>
      <c r="T1" s="3" t="s">
        <v>9</v>
      </c>
    </row>
    <row r="2" spans="1:20" x14ac:dyDescent="0.2">
      <c r="A2" s="6" t="s">
        <v>83</v>
      </c>
      <c r="B2" s="6" t="s">
        <v>94</v>
      </c>
      <c r="C2" s="6" t="s">
        <v>94</v>
      </c>
      <c r="D2" s="1" t="s">
        <v>84</v>
      </c>
      <c r="E2" s="1">
        <v>2024</v>
      </c>
      <c r="F2" s="1">
        <v>2024</v>
      </c>
      <c r="G2" s="1" t="s">
        <v>85</v>
      </c>
      <c r="H2" s="1" t="s">
        <v>95</v>
      </c>
      <c r="I2" s="1" t="s">
        <v>96</v>
      </c>
      <c r="K2" s="1" t="s">
        <v>97</v>
      </c>
      <c r="L2" s="1">
        <v>42</v>
      </c>
      <c r="M2" s="1">
        <v>29.7</v>
      </c>
      <c r="O2" s="1" t="s">
        <v>101</v>
      </c>
      <c r="P2" s="8">
        <v>46046</v>
      </c>
      <c r="Q2" s="1" t="s">
        <v>98</v>
      </c>
    </row>
    <row r="3" spans="1:20" x14ac:dyDescent="0.2">
      <c r="A3" s="6" t="s">
        <v>99</v>
      </c>
      <c r="B3" s="6" t="s">
        <v>94</v>
      </c>
      <c r="C3" s="6" t="s">
        <v>94</v>
      </c>
      <c r="D3" s="1" t="s">
        <v>84</v>
      </c>
      <c r="E3" s="1">
        <v>2024</v>
      </c>
      <c r="F3" s="1">
        <v>2024</v>
      </c>
      <c r="G3" s="1" t="s">
        <v>85</v>
      </c>
      <c r="H3" s="1" t="s">
        <v>95</v>
      </c>
      <c r="I3" s="1" t="s">
        <v>96</v>
      </c>
      <c r="K3" s="1" t="s">
        <v>100</v>
      </c>
      <c r="L3" s="1">
        <v>29.7</v>
      </c>
      <c r="M3" s="1">
        <v>42</v>
      </c>
      <c r="O3" s="1" t="s">
        <v>101</v>
      </c>
      <c r="P3" s="8">
        <v>46046</v>
      </c>
      <c r="Q3" s="1" t="s">
        <v>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97D8E-FD08-1349-9CBB-22A16DB9F6B8}">
  <dimension ref="A1:H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4" sqref="D4"/>
    </sheetView>
  </sheetViews>
  <sheetFormatPr baseColWidth="10" defaultRowHeight="17" x14ac:dyDescent="0.2"/>
  <cols>
    <col min="1" max="3" width="20.83203125" style="1" customWidth="1"/>
    <col min="4" max="4" width="24" style="1" bestFit="1" customWidth="1"/>
    <col min="5" max="5" width="20.83203125" style="1" customWidth="1"/>
    <col min="6" max="6" width="23.1640625" style="1" bestFit="1" customWidth="1"/>
    <col min="7" max="8" width="20.83203125" style="1" customWidth="1"/>
    <col min="9" max="16384" width="10.83203125" style="1"/>
  </cols>
  <sheetData>
    <row r="1" spans="1:8" s="3" customFormat="1" x14ac:dyDescent="0.2">
      <c r="A1" s="3" t="s">
        <v>14</v>
      </c>
      <c r="B1" s="3" t="s">
        <v>3</v>
      </c>
      <c r="C1" s="3" t="s">
        <v>15</v>
      </c>
      <c r="D1" s="3" t="s">
        <v>16</v>
      </c>
      <c r="E1" s="3" t="s">
        <v>17</v>
      </c>
      <c r="F1" s="3" t="s">
        <v>86</v>
      </c>
      <c r="G1" s="3" t="s">
        <v>67</v>
      </c>
      <c r="H1" s="3" t="s">
        <v>9</v>
      </c>
    </row>
    <row r="2" spans="1:8" x14ac:dyDescent="0.2">
      <c r="A2" s="6" t="s">
        <v>102</v>
      </c>
      <c r="B2" s="6" t="s">
        <v>83</v>
      </c>
      <c r="C2" s="1" t="s">
        <v>103</v>
      </c>
      <c r="D2" s="1" t="s">
        <v>105</v>
      </c>
      <c r="E2" s="1" t="s">
        <v>106</v>
      </c>
      <c r="F2" s="1" t="s">
        <v>107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307C2-25E9-AF4C-9C45-B37330E6C0EA}">
  <dimension ref="A1:D2"/>
  <sheetViews>
    <sheetView workbookViewId="0">
      <selection activeCell="A3" sqref="A3"/>
    </sheetView>
  </sheetViews>
  <sheetFormatPr baseColWidth="10" defaultRowHeight="17" x14ac:dyDescent="0.2"/>
  <cols>
    <col min="1" max="1" width="24" style="1" bestFit="1" customWidth="1"/>
    <col min="2" max="2" width="14.33203125" style="1" customWidth="1"/>
    <col min="3" max="3" width="24" style="1" bestFit="1" customWidth="1"/>
    <col min="4" max="4" width="20.83203125" style="1" customWidth="1"/>
  </cols>
  <sheetData>
    <row r="1" spans="1:4" x14ac:dyDescent="0.2">
      <c r="A1" s="3" t="s">
        <v>115</v>
      </c>
      <c r="B1" s="3" t="s">
        <v>3</v>
      </c>
      <c r="C1" s="3" t="s">
        <v>16</v>
      </c>
      <c r="D1" s="3" t="s">
        <v>109</v>
      </c>
    </row>
    <row r="2" spans="1:4" x14ac:dyDescent="0.2">
      <c r="A2" s="6" t="s">
        <v>102</v>
      </c>
      <c r="B2" s="6" t="s">
        <v>83</v>
      </c>
      <c r="C2" s="1" t="s">
        <v>108</v>
      </c>
      <c r="D2" s="1" t="s">
        <v>110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30609-FE54-1C46-AE81-1F762FADE82A}">
  <sheetPr>
    <tabColor theme="9" tint="0.39997558519241921"/>
  </sheetPr>
  <dimension ref="A1:D1"/>
  <sheetViews>
    <sheetView workbookViewId="0">
      <selection activeCell="C2" sqref="C2"/>
    </sheetView>
  </sheetViews>
  <sheetFormatPr baseColWidth="10" defaultRowHeight="17" customHeight="1" x14ac:dyDescent="0.2"/>
  <cols>
    <col min="1" max="1" width="26.33203125" style="1" customWidth="1"/>
    <col min="2" max="3" width="31.33203125" style="1" customWidth="1"/>
    <col min="4" max="4" width="44.33203125" style="1" bestFit="1" customWidth="1"/>
  </cols>
  <sheetData>
    <row r="1" spans="1:4" x14ac:dyDescent="0.2">
      <c r="A1" s="3" t="s">
        <v>78</v>
      </c>
      <c r="B1" s="3" t="s">
        <v>31</v>
      </c>
      <c r="C1" s="3" t="s">
        <v>81</v>
      </c>
      <c r="D1" s="3" t="s">
        <v>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schema</vt:lpstr>
      <vt:lpstr>Works</vt:lpstr>
      <vt:lpstr>WorkImages</vt:lpstr>
      <vt:lpstr>WorkAttachments</vt:lpstr>
      <vt:lpstr>lookups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DAVIES, Michael (NHS ENGLAND)</dc:creator>
  <cp:lastModifiedBy>DAVIES, Michael (NHS ENGLAND)</cp:lastModifiedBy>
  <dcterms:created xsi:type="dcterms:W3CDTF">2026-01-22T18:44:45Z</dcterms:created>
  <dcterms:modified xsi:type="dcterms:W3CDTF">2026-01-26T22:23:19Z</dcterms:modified>
</cp:coreProperties>
</file>