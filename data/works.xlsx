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2798C251-06B0-C742-819F-46A8F4844A14}" xr6:coauthVersionLast="47" xr6:coauthVersionMax="47" xr10:uidLastSave="{00000000-0000-0000-0000-000000000000}"/>
  <bookViews>
    <workbookView xWindow="0" yWindow="660" windowWidth="34560" windowHeight="20600" xr2:uid="{3340F1A4-2CEC-C74D-85F7-446226E10E48}"/>
  </bookViews>
  <sheets>
    <sheet name="schema" sheetId="1" r:id="rId1"/>
    <sheet name="Works" sheetId="2" r:id="rId2"/>
    <sheet name="WorkFiles" sheetId="10" r:id="rId3"/>
    <sheet name="Series" sheetId="9" r:id="rId4"/>
    <sheet name="Themes" sheetId="6" r:id="rId5"/>
    <sheet name="ThemeSeries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" i="1" l="1"/>
  <c r="A24" i="1"/>
  <c r="A23" i="1"/>
  <c r="A22" i="1"/>
  <c r="A31" i="1"/>
  <c r="A30" i="1"/>
  <c r="A29" i="1"/>
  <c r="A21" i="1"/>
  <c r="A10" i="1"/>
  <c r="A11" i="1"/>
  <c r="A19" i="1"/>
  <c r="A18" i="1"/>
  <c r="A14" i="1"/>
  <c r="A13" i="1"/>
  <c r="A12" i="1"/>
  <c r="A20" i="1"/>
  <c r="A17" i="1"/>
  <c r="A16" i="1"/>
  <c r="A15" i="1"/>
  <c r="A8" i="1"/>
  <c r="A9" i="1"/>
  <c r="A7" i="1"/>
  <c r="A6" i="1"/>
  <c r="A5" i="1"/>
  <c r="A4" i="1"/>
</calcChain>
</file>

<file path=xl/sharedStrings.xml><?xml version="1.0" encoding="utf-8"?>
<sst xmlns="http://schemas.openxmlformats.org/spreadsheetml/2006/main" count="627" uniqueCount="164">
  <si>
    <t>Column name</t>
  </si>
  <si>
    <t>Description</t>
  </si>
  <si>
    <t>Purpose</t>
  </si>
  <si>
    <t>work_id</t>
  </si>
  <si>
    <t>title</t>
  </si>
  <si>
    <t>year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</si>
  <si>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</si>
  <si>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</si>
  <si>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</si>
  <si>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</si>
  <si>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</si>
  <si>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</si>
  <si>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</si>
  <si>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</si>
  <si>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</si>
  <si>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</si>
  <si>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</si>
  <si>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</si>
  <si>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</si>
  <si>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master table (one row per work)</t>
  </si>
  <si>
    <t>Works</t>
  </si>
  <si>
    <t>in table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</si>
  <si>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</si>
  <si>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</si>
  <si>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</si>
  <si>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</si>
  <si>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</si>
  <si>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</si>
  <si>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</si>
  <si>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</si>
  <si>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</si>
  <si>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</si>
  <si>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</si>
  <si>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</si>
  <si>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</si>
  <si>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</si>
  <si>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</si>
  <si>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</si>
  <si>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</si>
  <si>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</si>
  <si>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</si>
  <si>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</si>
  <si>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</si>
  <si>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</si>
  <si>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</si>
  <si>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</si>
  <si>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</si>
  <si>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</si>
  <si>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</si>
  <si>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</si>
  <si>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</si>
  <si>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</si>
  <si>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</si>
  <si>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yes - in cell list</t>
  </si>
  <si>
    <t>yes - lookup list</t>
  </si>
  <si>
    <t>for reference only - lookup list</t>
  </si>
  <si>
    <t>00286</t>
  </si>
  <si>
    <t>untitled</t>
  </si>
  <si>
    <t>curve poems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</si>
  <si>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</si>
  <si>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</si>
  <si>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</si>
  <si>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</si>
  <si>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</si>
  <si>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</si>
  <si>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</si>
  <si>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</si>
  <si>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</si>
  <si>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00286-work-card.pdf</t>
  </si>
  <si>
    <t>work card (PDF)</t>
  </si>
  <si>
    <t>file downloads</t>
  </si>
  <si>
    <t>e.g. 'work card (PDF)'</t>
  </si>
  <si>
    <t>sequential ID (e.g. 00286), text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</si>
  <si>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</si>
  <si>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</si>
  <si>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</si>
  <si>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</si>
  <si>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</si>
  <si>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</si>
  <si>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</si>
  <si>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</si>
  <si>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</si>
  <si>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</si>
  <si>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</si>
  <si>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</si>
  <si>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</si>
  <si>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</si>
  <si>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</si>
  <si>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</si>
  <si>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</si>
  <si>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</si>
  <si>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</si>
  <si>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</si>
  <si>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</si>
  <si>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</si>
  <si>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</si>
  <si>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</si>
  <si>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</si>
  <si>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</si>
  <si>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</si>
  <si>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</si>
  <si>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</si>
  <si>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</si>
  <si>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</si>
  <si>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</si>
  <si>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</si>
  <si>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</si>
  <si>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</si>
  <si>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</si>
  <si>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</si>
  <si>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</si>
  <si>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</si>
  <si>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</si>
  <si>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</si>
  <si>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</si>
  <si>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</si>
  <si>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</si>
  <si>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</si>
  <si>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</si>
  <si>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</si>
  <si>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</si>
  <si>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</si>
  <si>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</si>
  <si>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</si>
  <si>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</si>
  <si>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</si>
  <si>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</si>
  <si>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</si>
  <si>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</si>
  <si>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</si>
  <si>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</si>
  <si>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</si>
  <si>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</si>
  <si>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</si>
  <si>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</si>
  <si>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</si>
  <si>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</si>
  <si>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</si>
  <si>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</si>
  <si>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</si>
  <si>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</si>
  <si>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</si>
  <si>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theme_id</t>
  </si>
  <si>
    <t>curve-poems</t>
  </si>
  <si>
    <t>theme_title</t>
  </si>
  <si>
    <t>theme_date</t>
  </si>
  <si>
    <t>series_id</t>
  </si>
  <si>
    <t>series_title</t>
  </si>
  <si>
    <t>2024-25</t>
  </si>
  <si>
    <t>curves</t>
  </si>
  <si>
    <t>file_id</t>
  </si>
  <si>
    <t>file_label</t>
  </si>
  <si>
    <t>WorkFiles</t>
  </si>
  <si>
    <t>file name e.g. '00286-work-card.pdf'</t>
  </si>
  <si>
    <t>used for link text</t>
  </si>
  <si>
    <t>used to derive link url</t>
  </si>
  <si>
    <t>Behance_url</t>
  </si>
  <si>
    <t>Vimeo_url</t>
  </si>
  <si>
    <t>YouTube_url</t>
  </si>
  <si>
    <t>Bandcamp_url</t>
  </si>
  <si>
    <t>series id if work is part of a series</t>
  </si>
  <si>
    <t>supports series as goups of related work</t>
  </si>
  <si>
    <t>if work is published externally</t>
  </si>
  <si>
    <t>link on work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</si>
</sst>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31"/>
  <sheetViews>
    <sheetView tabSelected="1" zoomScaleNormal="100" workbookViewId="0">
      <selection activeCell="D24" sqref="D24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20</v>
      </c>
    </row>
    <row r="2" spans="1:5" x14ac:dyDescent="0.2">
      <c r="A2" s="3" t="s">
        <v>19</v>
      </c>
    </row>
    <row r="3" spans="1:5" x14ac:dyDescent="0.2">
      <c r="A3" s="4" t="s">
        <v>21</v>
      </c>
      <c r="B3" s="3" t="s">
        <v>0</v>
      </c>
      <c r="C3" s="3" t="s">
        <v>23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72</v>
      </c>
      <c r="E4" s="1" t="s">
        <v>29</v>
      </c>
    </row>
    <row r="5" spans="1:5" x14ac:dyDescent="0.2">
      <c r="A5" s="1" t="b">
        <f>NOT(ISERROR(HLOOKUP(B5,Works!$1:$1,1,FALSE)))</f>
        <v>1</v>
      </c>
      <c r="B5" s="1" t="s">
        <v>4</v>
      </c>
      <c r="D5" s="1" t="s">
        <v>27</v>
      </c>
      <c r="E5" s="1" t="s">
        <v>30</v>
      </c>
    </row>
    <row r="6" spans="1:5" x14ac:dyDescent="0.2">
      <c r="A6" s="1" t="b">
        <f>NOT(ISERROR(HLOOKUP(B6,Works!$1:$1,1,FALSE)))</f>
        <v>1</v>
      </c>
      <c r="B6" s="1" t="s">
        <v>5</v>
      </c>
      <c r="D6" s="1" t="s">
        <v>28</v>
      </c>
      <c r="E6" s="1" t="s">
        <v>31</v>
      </c>
    </row>
    <row r="7" spans="1:5" x14ac:dyDescent="0.2">
      <c r="A7" s="1" t="b">
        <f>NOT(ISERROR(HLOOKUP(B7,Works!$1:$1,1,FALSE)))</f>
        <v>1</v>
      </c>
      <c r="B7" s="1" t="s">
        <v>12</v>
      </c>
      <c r="D7" s="1" t="s">
        <v>14</v>
      </c>
      <c r="E7" s="1" t="s">
        <v>13</v>
      </c>
    </row>
    <row r="8" spans="1:5" x14ac:dyDescent="0.2">
      <c r="A8" s="1" t="b">
        <f>NOT(ISERROR(HLOOKUP(B8,Works!$1:$1,1,FALSE)))</f>
        <v>1</v>
      </c>
      <c r="B8" s="1" t="s">
        <v>146</v>
      </c>
      <c r="D8" s="1" t="s">
        <v>160</v>
      </c>
      <c r="E8" s="1" t="s">
        <v>161</v>
      </c>
    </row>
    <row r="9" spans="1:5" x14ac:dyDescent="0.2">
      <c r="A9" s="1" t="b">
        <f>NOT(ISERROR(HLOOKUP(B9,Works!$1:$1,1,FALSE)))</f>
        <v>1</v>
      </c>
      <c r="B9" s="1" t="s">
        <v>51</v>
      </c>
      <c r="C9" s="1" t="s">
        <v>50</v>
      </c>
      <c r="D9" s="1" t="s">
        <v>47</v>
      </c>
      <c r="E9" s="1" t="s">
        <v>49</v>
      </c>
    </row>
    <row r="10" spans="1:5" x14ac:dyDescent="0.2">
      <c r="A10" s="1" t="b">
        <f>NOT(ISERROR(HLOOKUP(B10,Works!$1:$1,1,FALSE)))</f>
        <v>1</v>
      </c>
      <c r="B10" s="1" t="s">
        <v>52</v>
      </c>
      <c r="D10" s="1" t="s">
        <v>45</v>
      </c>
      <c r="E10" s="1" t="s">
        <v>46</v>
      </c>
    </row>
    <row r="11" spans="1:5" x14ac:dyDescent="0.2">
      <c r="A11" s="1" t="b">
        <f>NOT(ISERROR(HLOOKUP(B11,Works!$1:$1,1,FALSE)))</f>
        <v>1</v>
      </c>
      <c r="B11" s="1" t="s">
        <v>18</v>
      </c>
      <c r="D11" s="1" t="s">
        <v>48</v>
      </c>
      <c r="E11" s="1" t="s">
        <v>46</v>
      </c>
    </row>
    <row r="12" spans="1:5" x14ac:dyDescent="0.2">
      <c r="A12" s="1" t="b">
        <f>NOT(ISERROR(HLOOKUP(B12,Works!$1:$1,1,FALSE)))</f>
        <v>1</v>
      </c>
      <c r="B12" s="1" t="s">
        <v>15</v>
      </c>
      <c r="D12" s="1" t="s">
        <v>37</v>
      </c>
      <c r="E12" s="1" t="s">
        <v>22</v>
      </c>
    </row>
    <row r="13" spans="1:5" x14ac:dyDescent="0.2">
      <c r="A13" s="1" t="b">
        <f>NOT(ISERROR(HLOOKUP(B13,Works!$1:$1,1,FALSE)))</f>
        <v>1</v>
      </c>
      <c r="B13" s="1" t="s">
        <v>16</v>
      </c>
      <c r="D13" s="1" t="s">
        <v>38</v>
      </c>
      <c r="E13" s="1" t="s">
        <v>22</v>
      </c>
    </row>
    <row r="14" spans="1:5" x14ac:dyDescent="0.2">
      <c r="A14" s="1" t="b">
        <f>NOT(ISERROR(HLOOKUP(B14,Works!$1:$1,1,FALSE)))</f>
        <v>1</v>
      </c>
      <c r="B14" s="1" t="s">
        <v>17</v>
      </c>
      <c r="D14" s="1" t="s">
        <v>39</v>
      </c>
      <c r="E14" s="1" t="s">
        <v>40</v>
      </c>
    </row>
    <row r="15" spans="1:5" x14ac:dyDescent="0.2">
      <c r="A15" s="1" t="b">
        <f>NOT(ISERROR(HLOOKUP(B15,Works!$1:$1,1,FALSE)))</f>
        <v>1</v>
      </c>
      <c r="B15" s="1" t="s">
        <v>6</v>
      </c>
      <c r="C15" s="1" t="s">
        <v>55</v>
      </c>
      <c r="D15" s="1" t="s">
        <v>32</v>
      </c>
      <c r="E15" s="1" t="s">
        <v>33</v>
      </c>
    </row>
    <row r="16" spans="1:5" x14ac:dyDescent="0.2">
      <c r="A16" s="1" t="b">
        <f>NOT(ISERROR(HLOOKUP(B16,Works!$1:$1,1,FALSE)))</f>
        <v>1</v>
      </c>
      <c r="B16" s="1" t="s">
        <v>24</v>
      </c>
      <c r="D16" s="1" t="s">
        <v>34</v>
      </c>
      <c r="E16" s="1" t="s">
        <v>35</v>
      </c>
    </row>
    <row r="17" spans="1:5" x14ac:dyDescent="0.2">
      <c r="A17" s="1" t="b">
        <f>NOT(ISERROR(HLOOKUP(B17,Works!$1:$1,1,FALSE)))</f>
        <v>1</v>
      </c>
      <c r="B17" s="1" t="s">
        <v>7</v>
      </c>
      <c r="C17" s="1" t="s">
        <v>53</v>
      </c>
      <c r="D17" s="1" t="s">
        <v>25</v>
      </c>
      <c r="E17" s="1" t="s">
        <v>36</v>
      </c>
    </row>
    <row r="18" spans="1:5" x14ac:dyDescent="0.2">
      <c r="A18" s="1" t="b">
        <f>NOT(ISERROR(HLOOKUP(B18,Works!$1:$1,1,FALSE)))</f>
        <v>1</v>
      </c>
      <c r="B18" s="1" t="s">
        <v>42</v>
      </c>
      <c r="C18" s="1" t="s">
        <v>54</v>
      </c>
      <c r="D18" s="1" t="s">
        <v>43</v>
      </c>
      <c r="E18" s="1" t="s">
        <v>44</v>
      </c>
    </row>
    <row r="19" spans="1:5" x14ac:dyDescent="0.2">
      <c r="A19" s="1" t="b">
        <f>NOT(ISERROR(HLOOKUP(B19,Works!$1:$1,1,FALSE)))</f>
        <v>1</v>
      </c>
      <c r="B19" s="1" t="s">
        <v>10</v>
      </c>
      <c r="D19" s="1" t="s">
        <v>11</v>
      </c>
      <c r="E19" s="1" t="s">
        <v>41</v>
      </c>
    </row>
    <row r="20" spans="1:5" x14ac:dyDescent="0.2">
      <c r="A20" s="1" t="b">
        <f>NOT(ISERROR(HLOOKUP(B20,Works!$1:$1,1,FALSE)))</f>
        <v>1</v>
      </c>
      <c r="B20" s="1" t="s">
        <v>8</v>
      </c>
      <c r="D20" s="1" t="s">
        <v>9</v>
      </c>
      <c r="E20" s="1" t="s">
        <v>26</v>
      </c>
    </row>
    <row r="21" spans="1:5" x14ac:dyDescent="0.2">
      <c r="A21" s="1" t="b">
        <f>NOT(ISERROR(HLOOKUP(B21,Works!$1:$1,1,FALSE)))</f>
        <v>1</v>
      </c>
      <c r="B21" s="1" t="s">
        <v>75</v>
      </c>
      <c r="D21" s="1" t="s">
        <v>76</v>
      </c>
      <c r="E21" s="1" t="s">
        <v>59</v>
      </c>
    </row>
    <row r="22" spans="1:5" x14ac:dyDescent="0.2">
      <c r="A22" s="1" t="b">
        <f>NOT(ISERROR(HLOOKUP(B22,Works!$1:$1,1,FALSE)))</f>
        <v>1</v>
      </c>
      <c r="B22" s="1" t="s">
        <v>156</v>
      </c>
      <c r="D22" s="1" t="s">
        <v>162</v>
      </c>
      <c r="E22" s="1" t="s">
        <v>163</v>
      </c>
    </row>
    <row r="23" spans="1:5" x14ac:dyDescent="0.2">
      <c r="A23" s="1" t="b">
        <f>NOT(ISERROR(HLOOKUP(B23,Works!$1:$1,1,FALSE)))</f>
        <v>1</v>
      </c>
      <c r="B23" s="1" t="s">
        <v>157</v>
      </c>
      <c r="D23" s="1" t="s">
        <v>162</v>
      </c>
      <c r="E23" s="1" t="s">
        <v>163</v>
      </c>
    </row>
    <row r="24" spans="1:5" x14ac:dyDescent="0.2">
      <c r="A24" s="1" t="b">
        <f>NOT(ISERROR(HLOOKUP(B24,Works!$1:$1,1,FALSE)))</f>
        <v>1</v>
      </c>
      <c r="B24" s="1" t="s">
        <v>158</v>
      </c>
      <c r="D24" s="1" t="s">
        <v>162</v>
      </c>
      <c r="E24" s="1" t="s">
        <v>163</v>
      </c>
    </row>
    <row r="25" spans="1:5" x14ac:dyDescent="0.2">
      <c r="A25" s="1" t="b">
        <f>NOT(ISERROR(HLOOKUP(B25,Works!$1:$1,1,FALSE)))</f>
        <v>1</v>
      </c>
      <c r="B25" s="1" t="s">
        <v>159</v>
      </c>
      <c r="D25" s="1" t="s">
        <v>162</v>
      </c>
      <c r="E25" s="1" t="s">
        <v>163</v>
      </c>
    </row>
    <row r="27" spans="1:5" ht="29" x14ac:dyDescent="0.35">
      <c r="A27" s="2" t="s">
        <v>152</v>
      </c>
    </row>
    <row r="28" spans="1:5" x14ac:dyDescent="0.2">
      <c r="A28" s="3" t="s">
        <v>70</v>
      </c>
    </row>
    <row r="29" spans="1:5" x14ac:dyDescent="0.2">
      <c r="A29" s="1" t="b">
        <f>NOT(ISERROR(HLOOKUP(B29,WorkFiles!$1:$1,1,FALSE)))</f>
        <v>1</v>
      </c>
      <c r="B29" s="1" t="s">
        <v>3</v>
      </c>
      <c r="D29" s="1" t="s">
        <v>77</v>
      </c>
      <c r="E29" s="1" t="s">
        <v>155</v>
      </c>
    </row>
    <row r="30" spans="1:5" x14ac:dyDescent="0.2">
      <c r="A30" s="1" t="b">
        <f>NOT(ISERROR(HLOOKUP(B30,WorkFiles!$1:$1,1,FALSE)))</f>
        <v>1</v>
      </c>
      <c r="B30" s="1" t="s">
        <v>150</v>
      </c>
      <c r="D30" s="1" t="s">
        <v>153</v>
      </c>
      <c r="E30" s="1" t="s">
        <v>155</v>
      </c>
    </row>
    <row r="31" spans="1:5" x14ac:dyDescent="0.2">
      <c r="A31" s="1" t="b">
        <f>NOT(ISERROR(HLOOKUP(B31,WorkFiles!$1:$1,1,FALSE)))</f>
        <v>1</v>
      </c>
      <c r="B31" s="1" t="s">
        <v>151</v>
      </c>
      <c r="D31" s="1" t="s">
        <v>71</v>
      </c>
      <c r="E31" s="1" t="s">
        <v>154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V5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S5" sqref="S5:S8"/>
    </sheetView>
  </sheetViews>
  <sheetFormatPr baseColWidth="10" defaultRowHeight="17" x14ac:dyDescent="0.2"/>
  <cols>
    <col min="1" max="1" width="20.83203125" style="1" customWidth="1"/>
    <col min="2" max="2" width="33.5" style="1" customWidth="1"/>
    <col min="3" max="3" width="10.83203125" style="1" customWidth="1"/>
    <col min="4" max="4" width="16.6640625" style="1" customWidth="1"/>
    <col min="5" max="6" width="20.83203125" style="1" customWidth="1"/>
    <col min="7" max="7" width="29.5" style="1" bestFit="1" customWidth="1"/>
    <col min="8" max="8" width="10.83203125" style="1"/>
    <col min="9" max="13" width="20.83203125" style="1" customWidth="1"/>
    <col min="14" max="14" width="20.83203125" style="8" customWidth="1"/>
    <col min="15" max="17" width="20.83203125" style="1" customWidth="1"/>
    <col min="18" max="18" width="26.83203125" style="1" customWidth="1"/>
    <col min="19" max="19" width="17" style="1" customWidth="1"/>
    <col min="20" max="20" width="15.5" style="1" customWidth="1"/>
    <col min="21" max="21" width="15.1640625" style="1" customWidth="1"/>
    <col min="22" max="22" width="17.83203125" style="1" customWidth="1"/>
    <col min="23" max="16384" width="10.83203125" style="1"/>
  </cols>
  <sheetData>
    <row r="1" spans="1:22" s="3" customFormat="1" x14ac:dyDescent="0.2">
      <c r="A1" s="3" t="s">
        <v>3</v>
      </c>
      <c r="B1" s="3" t="s">
        <v>4</v>
      </c>
      <c r="C1" s="3" t="s">
        <v>5</v>
      </c>
      <c r="D1" s="3" t="s">
        <v>12</v>
      </c>
      <c r="E1" s="3" t="s">
        <v>146</v>
      </c>
      <c r="F1" s="3" t="s">
        <v>51</v>
      </c>
      <c r="G1" s="3" t="s">
        <v>52</v>
      </c>
      <c r="H1" s="3" t="s">
        <v>18</v>
      </c>
      <c r="I1" s="3" t="s">
        <v>7</v>
      </c>
      <c r="J1" s="3" t="s">
        <v>15</v>
      </c>
      <c r="K1" s="3" t="s">
        <v>16</v>
      </c>
      <c r="L1" s="3" t="s">
        <v>17</v>
      </c>
      <c r="M1" s="3" t="s">
        <v>6</v>
      </c>
      <c r="N1" s="7" t="s">
        <v>24</v>
      </c>
      <c r="O1" s="3" t="s">
        <v>42</v>
      </c>
      <c r="P1" s="3" t="s">
        <v>10</v>
      </c>
      <c r="Q1" s="3" t="s">
        <v>8</v>
      </c>
      <c r="R1" s="3" t="s">
        <v>75</v>
      </c>
      <c r="S1" s="3" t="s">
        <v>156</v>
      </c>
      <c r="T1" s="3" t="s">
        <v>157</v>
      </c>
      <c r="U1" s="3" t="s">
        <v>158</v>
      </c>
      <c r="V1" s="3" t="s">
        <v>159</v>
      </c>
    </row>
    <row r="2" spans="1:22" x14ac:dyDescent="0.2">
      <c r="A2" s="6" t="s">
        <v>56</v>
      </c>
      <c r="B2" s="1" t="s">
        <v>57</v>
      </c>
      <c r="C2" s="1">
        <v>2024</v>
      </c>
      <c r="D2" s="1">
        <v>2024</v>
      </c>
      <c r="E2" s="1" t="s">
        <v>143</v>
      </c>
      <c r="F2" s="1" t="s">
        <v>61</v>
      </c>
      <c r="G2" s="1" t="s">
        <v>85</v>
      </c>
      <c r="I2" s="1" t="s">
        <v>63</v>
      </c>
      <c r="J2" s="1">
        <v>42</v>
      </c>
      <c r="K2" s="1">
        <v>29.7</v>
      </c>
      <c r="M2" s="1" t="s">
        <v>67</v>
      </c>
      <c r="N2" s="8">
        <v>46046</v>
      </c>
      <c r="O2" s="1" t="s">
        <v>64</v>
      </c>
      <c r="R2" s="6" t="s">
        <v>60</v>
      </c>
    </row>
    <row r="3" spans="1:22" x14ac:dyDescent="0.2">
      <c r="A3" s="6" t="s">
        <v>65</v>
      </c>
      <c r="B3" s="1" t="s">
        <v>74</v>
      </c>
      <c r="C3" s="1">
        <v>2024</v>
      </c>
      <c r="D3" s="1">
        <v>2024</v>
      </c>
      <c r="E3" s="1" t="s">
        <v>143</v>
      </c>
      <c r="F3" s="1" t="s">
        <v>61</v>
      </c>
      <c r="G3" s="1" t="s">
        <v>73</v>
      </c>
      <c r="I3" s="1" t="s">
        <v>66</v>
      </c>
      <c r="J3" s="1">
        <v>29.7</v>
      </c>
      <c r="K3" s="1">
        <v>42</v>
      </c>
      <c r="M3" s="1" t="s">
        <v>67</v>
      </c>
      <c r="N3" s="8">
        <v>46046</v>
      </c>
      <c r="O3" s="1" t="s">
        <v>64</v>
      </c>
      <c r="R3" s="6" t="s">
        <v>60</v>
      </c>
    </row>
    <row r="4" spans="1:22" x14ac:dyDescent="0.2">
      <c r="A4" s="6" t="s">
        <v>78</v>
      </c>
      <c r="B4" s="1" t="s">
        <v>57</v>
      </c>
      <c r="C4" s="1">
        <v>2024</v>
      </c>
      <c r="D4" s="1">
        <v>2024</v>
      </c>
      <c r="E4" s="1" t="s">
        <v>143</v>
      </c>
      <c r="F4" s="1" t="s">
        <v>61</v>
      </c>
      <c r="G4" s="1" t="s">
        <v>62</v>
      </c>
      <c r="I4" s="1" t="s">
        <v>63</v>
      </c>
      <c r="J4" s="1">
        <v>42</v>
      </c>
      <c r="K4" s="1">
        <v>29.7</v>
      </c>
      <c r="M4" s="1" t="s">
        <v>67</v>
      </c>
      <c r="N4" s="8">
        <v>46046</v>
      </c>
      <c r="O4" s="1" t="s">
        <v>64</v>
      </c>
      <c r="R4" s="6" t="s">
        <v>60</v>
      </c>
    </row>
    <row r="5" spans="1:22" x14ac:dyDescent="0.2">
      <c r="A5" s="6" t="s">
        <v>80</v>
      </c>
      <c r="B5" s="1" t="s">
        <v>57</v>
      </c>
      <c r="C5" s="1">
        <v>2024</v>
      </c>
      <c r="D5" s="1">
        <v>2024</v>
      </c>
      <c r="E5" s="1" t="s">
        <v>143</v>
      </c>
      <c r="F5" s="1" t="s">
        <v>61</v>
      </c>
      <c r="G5" s="1" t="s">
        <v>62</v>
      </c>
      <c r="I5" s="1" t="s">
        <v>63</v>
      </c>
      <c r="J5" s="1">
        <v>42</v>
      </c>
      <c r="K5" s="1">
        <v>29.7</v>
      </c>
      <c r="M5" s="1" t="s">
        <v>67</v>
      </c>
      <c r="N5" s="8">
        <v>46046</v>
      </c>
      <c r="O5" s="1" t="s">
        <v>64</v>
      </c>
      <c r="R5" s="6" t="s">
        <v>60</v>
      </c>
    </row>
    <row r="6" spans="1:22" x14ac:dyDescent="0.2">
      <c r="A6" s="6" t="s">
        <v>79</v>
      </c>
      <c r="B6" s="1" t="s">
        <v>57</v>
      </c>
      <c r="C6" s="1">
        <v>2024</v>
      </c>
      <c r="D6" s="1">
        <v>2024</v>
      </c>
      <c r="E6" s="1" t="s">
        <v>143</v>
      </c>
      <c r="F6" s="1" t="s">
        <v>61</v>
      </c>
      <c r="G6" s="1" t="s">
        <v>85</v>
      </c>
      <c r="I6" s="1" t="s">
        <v>63</v>
      </c>
      <c r="J6" s="1">
        <v>42</v>
      </c>
      <c r="K6" s="1">
        <v>29.7</v>
      </c>
      <c r="M6" s="1" t="s">
        <v>67</v>
      </c>
      <c r="N6" s="8">
        <v>46046</v>
      </c>
      <c r="O6" s="1" t="s">
        <v>64</v>
      </c>
      <c r="R6" s="6" t="s">
        <v>60</v>
      </c>
    </row>
    <row r="7" spans="1:22" x14ac:dyDescent="0.2">
      <c r="A7" s="6" t="s">
        <v>82</v>
      </c>
      <c r="B7" s="1" t="s">
        <v>57</v>
      </c>
      <c r="C7" s="1">
        <v>2024</v>
      </c>
      <c r="D7" s="1">
        <v>2024</v>
      </c>
      <c r="E7" s="1" t="s">
        <v>143</v>
      </c>
      <c r="F7" s="1" t="s">
        <v>61</v>
      </c>
      <c r="G7" s="1" t="s">
        <v>62</v>
      </c>
      <c r="I7" s="1" t="s">
        <v>63</v>
      </c>
      <c r="J7" s="1">
        <v>42</v>
      </c>
      <c r="K7" s="1">
        <v>29.7</v>
      </c>
      <c r="M7" s="1" t="s">
        <v>67</v>
      </c>
      <c r="N7" s="8">
        <v>46046</v>
      </c>
      <c r="O7" s="1" t="s">
        <v>64</v>
      </c>
      <c r="R7" s="6" t="s">
        <v>60</v>
      </c>
    </row>
    <row r="8" spans="1:22" x14ac:dyDescent="0.2">
      <c r="A8" s="6" t="s">
        <v>83</v>
      </c>
      <c r="B8" s="1" t="s">
        <v>57</v>
      </c>
      <c r="C8" s="1">
        <v>2024</v>
      </c>
      <c r="D8" s="1">
        <v>2024</v>
      </c>
      <c r="E8" s="1" t="s">
        <v>143</v>
      </c>
      <c r="F8" s="1" t="s">
        <v>61</v>
      </c>
      <c r="G8" s="1" t="s">
        <v>62</v>
      </c>
      <c r="I8" s="1" t="s">
        <v>63</v>
      </c>
      <c r="J8" s="1">
        <v>42</v>
      </c>
      <c r="K8" s="1">
        <v>29.7</v>
      </c>
      <c r="M8" s="1" t="s">
        <v>67</v>
      </c>
      <c r="N8" s="8">
        <v>46046</v>
      </c>
      <c r="O8" s="1" t="s">
        <v>64</v>
      </c>
      <c r="R8" s="6" t="s">
        <v>60</v>
      </c>
    </row>
    <row r="9" spans="1:22" x14ac:dyDescent="0.2">
      <c r="A9" s="6" t="s">
        <v>84</v>
      </c>
      <c r="B9" s="1" t="s">
        <v>57</v>
      </c>
      <c r="C9" s="1">
        <v>2024</v>
      </c>
      <c r="D9" s="1">
        <v>2024</v>
      </c>
      <c r="E9" s="1" t="s">
        <v>143</v>
      </c>
      <c r="F9" s="1" t="s">
        <v>61</v>
      </c>
      <c r="G9" s="1" t="s">
        <v>86</v>
      </c>
      <c r="I9" s="1" t="s">
        <v>63</v>
      </c>
      <c r="J9" s="1">
        <v>42</v>
      </c>
      <c r="K9" s="1">
        <v>29.7</v>
      </c>
      <c r="M9" s="1" t="s">
        <v>67</v>
      </c>
      <c r="N9" s="8">
        <v>46046</v>
      </c>
      <c r="O9" s="1" t="s">
        <v>64</v>
      </c>
      <c r="R9" s="6" t="s">
        <v>60</v>
      </c>
    </row>
    <row r="10" spans="1:22" x14ac:dyDescent="0.2">
      <c r="A10" s="6" t="s">
        <v>87</v>
      </c>
      <c r="B10" s="1" t="s">
        <v>57</v>
      </c>
      <c r="C10" s="1">
        <v>2024</v>
      </c>
      <c r="D10" s="1">
        <v>2024</v>
      </c>
      <c r="E10" s="1" t="s">
        <v>143</v>
      </c>
      <c r="F10" s="1" t="s">
        <v>61</v>
      </c>
      <c r="G10" s="1" t="s">
        <v>88</v>
      </c>
      <c r="I10" s="1" t="s">
        <v>63</v>
      </c>
      <c r="J10" s="1">
        <v>42</v>
      </c>
      <c r="K10" s="1">
        <v>29.7</v>
      </c>
      <c r="M10" s="1" t="s">
        <v>67</v>
      </c>
      <c r="N10" s="8">
        <v>46046</v>
      </c>
      <c r="O10" s="1" t="s">
        <v>64</v>
      </c>
      <c r="R10" s="6" t="s">
        <v>60</v>
      </c>
    </row>
    <row r="11" spans="1:22" x14ac:dyDescent="0.2">
      <c r="A11" s="6" t="s">
        <v>89</v>
      </c>
      <c r="B11" s="1" t="s">
        <v>57</v>
      </c>
      <c r="C11" s="1">
        <v>2024</v>
      </c>
      <c r="D11" s="1">
        <v>2024</v>
      </c>
      <c r="E11" s="1" t="s">
        <v>143</v>
      </c>
      <c r="F11" s="1" t="s">
        <v>61</v>
      </c>
      <c r="G11" s="1" t="s">
        <v>88</v>
      </c>
      <c r="I11" s="1" t="s">
        <v>63</v>
      </c>
      <c r="J11" s="1">
        <v>42</v>
      </c>
      <c r="K11" s="1">
        <v>29.7</v>
      </c>
      <c r="M11" s="1" t="s">
        <v>67</v>
      </c>
      <c r="N11" s="8">
        <v>46046</v>
      </c>
      <c r="O11" s="1" t="s">
        <v>64</v>
      </c>
      <c r="R11" s="6" t="s">
        <v>60</v>
      </c>
    </row>
    <row r="12" spans="1:22" x14ac:dyDescent="0.2">
      <c r="A12" s="6" t="s">
        <v>90</v>
      </c>
      <c r="B12" s="1" t="s">
        <v>91</v>
      </c>
      <c r="C12" s="1">
        <v>2024</v>
      </c>
      <c r="D12" s="1">
        <v>2024</v>
      </c>
      <c r="E12" s="1" t="s">
        <v>143</v>
      </c>
      <c r="F12" s="1" t="s">
        <v>61</v>
      </c>
      <c r="G12" s="1" t="s">
        <v>85</v>
      </c>
      <c r="I12" s="1" t="s">
        <v>63</v>
      </c>
      <c r="J12" s="1">
        <v>42</v>
      </c>
      <c r="K12" s="1">
        <v>29.7</v>
      </c>
      <c r="M12" s="1" t="s">
        <v>67</v>
      </c>
      <c r="N12" s="8">
        <v>46046</v>
      </c>
      <c r="O12" s="1" t="s">
        <v>64</v>
      </c>
      <c r="R12" s="6" t="s">
        <v>60</v>
      </c>
    </row>
    <row r="13" spans="1:22" x14ac:dyDescent="0.2">
      <c r="A13" s="6" t="s">
        <v>92</v>
      </c>
      <c r="B13" s="1" t="s">
        <v>93</v>
      </c>
      <c r="C13" s="1">
        <v>2024</v>
      </c>
      <c r="D13" s="1">
        <v>2024</v>
      </c>
      <c r="E13" s="1" t="s">
        <v>143</v>
      </c>
      <c r="F13" s="1" t="s">
        <v>61</v>
      </c>
      <c r="G13" s="1" t="s">
        <v>88</v>
      </c>
      <c r="I13" s="1" t="s">
        <v>63</v>
      </c>
      <c r="J13" s="1">
        <v>42</v>
      </c>
      <c r="K13" s="1">
        <v>29.7</v>
      </c>
      <c r="M13" s="1" t="s">
        <v>67</v>
      </c>
      <c r="N13" s="8">
        <v>46046</v>
      </c>
      <c r="O13" s="1" t="s">
        <v>64</v>
      </c>
      <c r="R13" s="6" t="s">
        <v>60</v>
      </c>
    </row>
    <row r="14" spans="1:22" x14ac:dyDescent="0.2">
      <c r="A14" s="6" t="s">
        <v>94</v>
      </c>
      <c r="B14" s="1" t="s">
        <v>57</v>
      </c>
      <c r="C14" s="1">
        <v>2024</v>
      </c>
      <c r="D14" s="1">
        <v>2024</v>
      </c>
      <c r="E14" s="1" t="s">
        <v>143</v>
      </c>
      <c r="F14" s="1" t="s">
        <v>61</v>
      </c>
      <c r="G14" s="1" t="s">
        <v>88</v>
      </c>
      <c r="I14" s="1" t="s">
        <v>63</v>
      </c>
      <c r="J14" s="1">
        <v>42</v>
      </c>
      <c r="K14" s="1">
        <v>29.7</v>
      </c>
      <c r="M14" s="1" t="s">
        <v>67</v>
      </c>
      <c r="N14" s="8">
        <v>46046</v>
      </c>
      <c r="O14" s="1" t="s">
        <v>64</v>
      </c>
      <c r="R14" s="6" t="s">
        <v>60</v>
      </c>
    </row>
    <row r="15" spans="1:22" x14ac:dyDescent="0.2">
      <c r="A15" s="6" t="s">
        <v>95</v>
      </c>
      <c r="B15" s="1" t="s">
        <v>57</v>
      </c>
      <c r="C15" s="1">
        <v>2024</v>
      </c>
      <c r="D15" s="1">
        <v>2024</v>
      </c>
      <c r="E15" s="1" t="s">
        <v>143</v>
      </c>
      <c r="F15" s="1" t="s">
        <v>61</v>
      </c>
      <c r="G15" s="1" t="s">
        <v>88</v>
      </c>
      <c r="I15" s="1" t="s">
        <v>63</v>
      </c>
      <c r="J15" s="1">
        <v>42</v>
      </c>
      <c r="K15" s="1">
        <v>29.7</v>
      </c>
      <c r="M15" s="1" t="s">
        <v>67</v>
      </c>
      <c r="N15" s="8">
        <v>46046</v>
      </c>
      <c r="O15" s="1" t="s">
        <v>64</v>
      </c>
      <c r="R15" s="6" t="s">
        <v>60</v>
      </c>
    </row>
    <row r="16" spans="1:22" x14ac:dyDescent="0.2">
      <c r="A16" s="6" t="s">
        <v>96</v>
      </c>
      <c r="B16" s="1" t="s">
        <v>57</v>
      </c>
      <c r="C16" s="1">
        <v>2024</v>
      </c>
      <c r="D16" s="1">
        <v>2024</v>
      </c>
      <c r="E16" s="1" t="s">
        <v>143</v>
      </c>
      <c r="F16" s="1" t="s">
        <v>61</v>
      </c>
      <c r="G16" s="1" t="s">
        <v>88</v>
      </c>
      <c r="I16" s="1" t="s">
        <v>63</v>
      </c>
      <c r="J16" s="1">
        <v>42</v>
      </c>
      <c r="K16" s="1">
        <v>29.7</v>
      </c>
      <c r="M16" s="1" t="s">
        <v>67</v>
      </c>
      <c r="N16" s="8">
        <v>46046</v>
      </c>
      <c r="O16" s="1" t="s">
        <v>64</v>
      </c>
      <c r="R16" s="6" t="s">
        <v>60</v>
      </c>
    </row>
    <row r="17" spans="1:18" x14ac:dyDescent="0.2">
      <c r="A17" s="6" t="s">
        <v>97</v>
      </c>
      <c r="B17" s="1" t="s">
        <v>57</v>
      </c>
      <c r="C17" s="1">
        <v>2024</v>
      </c>
      <c r="D17" s="1">
        <v>2024</v>
      </c>
      <c r="E17" s="1" t="s">
        <v>143</v>
      </c>
      <c r="F17" s="1" t="s">
        <v>61</v>
      </c>
      <c r="G17" s="1" t="s">
        <v>88</v>
      </c>
      <c r="I17" s="1" t="s">
        <v>63</v>
      </c>
      <c r="J17" s="1">
        <v>42</v>
      </c>
      <c r="K17" s="1">
        <v>29.7</v>
      </c>
      <c r="M17" s="1" t="s">
        <v>67</v>
      </c>
      <c r="N17" s="8">
        <v>46046</v>
      </c>
      <c r="O17" s="1" t="s">
        <v>64</v>
      </c>
      <c r="R17" s="6" t="s">
        <v>60</v>
      </c>
    </row>
    <row r="18" spans="1:18" x14ac:dyDescent="0.2">
      <c r="A18" s="6" t="s">
        <v>98</v>
      </c>
      <c r="B18" s="1" t="s">
        <v>57</v>
      </c>
      <c r="C18" s="1">
        <v>2024</v>
      </c>
      <c r="D18" s="1">
        <v>2024</v>
      </c>
      <c r="E18" s="1" t="s">
        <v>143</v>
      </c>
      <c r="F18" s="1" t="s">
        <v>61</v>
      </c>
      <c r="G18" s="1" t="s">
        <v>88</v>
      </c>
      <c r="I18" s="1" t="s">
        <v>63</v>
      </c>
      <c r="J18" s="1">
        <v>42</v>
      </c>
      <c r="K18" s="1">
        <v>29.7</v>
      </c>
      <c r="M18" s="1" t="s">
        <v>67</v>
      </c>
      <c r="N18" s="8">
        <v>46046</v>
      </c>
      <c r="O18" s="1" t="s">
        <v>64</v>
      </c>
      <c r="R18" s="6" t="s">
        <v>60</v>
      </c>
    </row>
    <row r="19" spans="1:18" x14ac:dyDescent="0.2">
      <c r="A19" s="6" t="s">
        <v>99</v>
      </c>
      <c r="B19" s="1" t="s">
        <v>57</v>
      </c>
      <c r="C19" s="1">
        <v>2024</v>
      </c>
      <c r="D19" s="1">
        <v>2024</v>
      </c>
      <c r="E19" s="1" t="s">
        <v>143</v>
      </c>
      <c r="F19" s="1" t="s">
        <v>61</v>
      </c>
      <c r="G19" s="1" t="s">
        <v>62</v>
      </c>
      <c r="I19" s="1" t="s">
        <v>63</v>
      </c>
      <c r="J19" s="1">
        <v>42</v>
      </c>
      <c r="K19" s="1">
        <v>29.7</v>
      </c>
      <c r="M19" s="1" t="s">
        <v>67</v>
      </c>
      <c r="N19" s="8">
        <v>46046</v>
      </c>
      <c r="O19" s="1" t="s">
        <v>64</v>
      </c>
      <c r="R19" s="6" t="s">
        <v>60</v>
      </c>
    </row>
    <row r="20" spans="1:18" x14ac:dyDescent="0.2">
      <c r="A20" s="6" t="s">
        <v>100</v>
      </c>
      <c r="B20" s="1" t="s">
        <v>57</v>
      </c>
      <c r="C20" s="1">
        <v>2024</v>
      </c>
      <c r="D20" s="1">
        <v>2024</v>
      </c>
      <c r="E20" s="1" t="s">
        <v>143</v>
      </c>
      <c r="F20" s="1" t="s">
        <v>61</v>
      </c>
      <c r="G20" s="1" t="s">
        <v>62</v>
      </c>
      <c r="I20" s="1" t="s">
        <v>63</v>
      </c>
      <c r="J20" s="1">
        <v>42</v>
      </c>
      <c r="K20" s="1">
        <v>29.7</v>
      </c>
      <c r="M20" s="1" t="s">
        <v>67</v>
      </c>
      <c r="N20" s="8">
        <v>46046</v>
      </c>
      <c r="O20" s="1" t="s">
        <v>64</v>
      </c>
      <c r="R20" s="6" t="s">
        <v>60</v>
      </c>
    </row>
    <row r="21" spans="1:18" x14ac:dyDescent="0.2">
      <c r="A21" s="6" t="s">
        <v>101</v>
      </c>
      <c r="B21" s="1" t="s">
        <v>57</v>
      </c>
      <c r="C21" s="1">
        <v>2024</v>
      </c>
      <c r="D21" s="1">
        <v>2024</v>
      </c>
      <c r="E21" s="1" t="s">
        <v>143</v>
      </c>
      <c r="F21" s="1" t="s">
        <v>61</v>
      </c>
      <c r="G21" s="1" t="s">
        <v>62</v>
      </c>
      <c r="I21" s="1" t="s">
        <v>63</v>
      </c>
      <c r="J21" s="1">
        <v>42</v>
      </c>
      <c r="K21" s="1">
        <v>29.7</v>
      </c>
      <c r="M21" s="1" t="s">
        <v>67</v>
      </c>
      <c r="N21" s="8">
        <v>46046</v>
      </c>
      <c r="O21" s="1" t="s">
        <v>64</v>
      </c>
      <c r="R21" s="6" t="s">
        <v>60</v>
      </c>
    </row>
    <row r="22" spans="1:18" x14ac:dyDescent="0.2">
      <c r="A22" s="6" t="s">
        <v>102</v>
      </c>
      <c r="B22" s="1" t="s">
        <v>57</v>
      </c>
      <c r="C22" s="1">
        <v>2024</v>
      </c>
      <c r="D22" s="1">
        <v>2024</v>
      </c>
      <c r="E22" s="1" t="s">
        <v>143</v>
      </c>
      <c r="F22" s="1" t="s">
        <v>61</v>
      </c>
      <c r="G22" s="1" t="s">
        <v>62</v>
      </c>
      <c r="I22" s="1" t="s">
        <v>63</v>
      </c>
      <c r="J22" s="1">
        <v>42</v>
      </c>
      <c r="K22" s="1">
        <v>29.7</v>
      </c>
      <c r="M22" s="1" t="s">
        <v>67</v>
      </c>
      <c r="N22" s="8">
        <v>46046</v>
      </c>
      <c r="O22" s="1" t="s">
        <v>64</v>
      </c>
      <c r="R22" s="6" t="s">
        <v>60</v>
      </c>
    </row>
    <row r="23" spans="1:18" x14ac:dyDescent="0.2">
      <c r="A23" s="6" t="s">
        <v>103</v>
      </c>
      <c r="B23" s="1" t="s">
        <v>57</v>
      </c>
      <c r="C23" s="1">
        <v>2024</v>
      </c>
      <c r="D23" s="1">
        <v>2024</v>
      </c>
      <c r="E23" s="1" t="s">
        <v>143</v>
      </c>
      <c r="F23" s="1" t="s">
        <v>61</v>
      </c>
      <c r="G23" s="1" t="s">
        <v>88</v>
      </c>
      <c r="I23" s="1" t="s">
        <v>63</v>
      </c>
      <c r="J23" s="1">
        <v>42</v>
      </c>
      <c r="K23" s="1">
        <v>29.7</v>
      </c>
      <c r="M23" s="1" t="s">
        <v>67</v>
      </c>
      <c r="N23" s="8">
        <v>46046</v>
      </c>
      <c r="O23" s="1" t="s">
        <v>64</v>
      </c>
      <c r="R23" s="6" t="s">
        <v>60</v>
      </c>
    </row>
    <row r="24" spans="1:18" x14ac:dyDescent="0.2">
      <c r="A24" s="6" t="s">
        <v>104</v>
      </c>
      <c r="B24" s="1" t="s">
        <v>57</v>
      </c>
      <c r="C24" s="1">
        <v>2024</v>
      </c>
      <c r="D24" s="1">
        <v>2024</v>
      </c>
      <c r="E24" s="1" t="s">
        <v>143</v>
      </c>
      <c r="F24" s="1" t="s">
        <v>61</v>
      </c>
      <c r="G24" s="1" t="s">
        <v>85</v>
      </c>
      <c r="I24" s="1" t="s">
        <v>63</v>
      </c>
      <c r="J24" s="1">
        <v>42</v>
      </c>
      <c r="K24" s="1">
        <v>29.7</v>
      </c>
      <c r="M24" s="1" t="s">
        <v>67</v>
      </c>
      <c r="N24" s="8">
        <v>46046</v>
      </c>
      <c r="O24" s="1" t="s">
        <v>64</v>
      </c>
      <c r="R24" s="6" t="s">
        <v>60</v>
      </c>
    </row>
    <row r="25" spans="1:18" x14ac:dyDescent="0.2">
      <c r="A25" s="6" t="s">
        <v>105</v>
      </c>
      <c r="B25" s="1" t="s">
        <v>106</v>
      </c>
      <c r="C25" s="1">
        <v>2024</v>
      </c>
      <c r="D25" s="1">
        <v>2024</v>
      </c>
      <c r="E25" s="1" t="s">
        <v>143</v>
      </c>
      <c r="F25" s="1" t="s">
        <v>61</v>
      </c>
      <c r="G25" s="1" t="s">
        <v>62</v>
      </c>
      <c r="I25" s="1" t="s">
        <v>63</v>
      </c>
      <c r="J25" s="1">
        <v>42</v>
      </c>
      <c r="K25" s="1">
        <v>29.7</v>
      </c>
      <c r="M25" s="1" t="s">
        <v>67</v>
      </c>
      <c r="N25" s="8">
        <v>46046</v>
      </c>
      <c r="O25" s="1" t="s">
        <v>64</v>
      </c>
      <c r="R25" s="6" t="s">
        <v>60</v>
      </c>
    </row>
    <row r="26" spans="1:18" x14ac:dyDescent="0.2">
      <c r="A26" s="6" t="s">
        <v>107</v>
      </c>
      <c r="B26" s="1" t="s">
        <v>57</v>
      </c>
      <c r="C26" s="1">
        <v>2024</v>
      </c>
      <c r="D26" s="1">
        <v>2024</v>
      </c>
      <c r="E26" s="1" t="s">
        <v>143</v>
      </c>
      <c r="F26" s="1" t="s">
        <v>61</v>
      </c>
      <c r="G26" s="1" t="s">
        <v>62</v>
      </c>
      <c r="I26" s="1" t="s">
        <v>63</v>
      </c>
      <c r="J26" s="1">
        <v>42</v>
      </c>
      <c r="K26" s="1">
        <v>29.7</v>
      </c>
      <c r="M26" s="1" t="s">
        <v>67</v>
      </c>
      <c r="N26" s="8">
        <v>46046</v>
      </c>
      <c r="O26" s="1" t="s">
        <v>64</v>
      </c>
      <c r="R26" s="6" t="s">
        <v>60</v>
      </c>
    </row>
    <row r="27" spans="1:18" x14ac:dyDescent="0.2">
      <c r="A27" s="6" t="s">
        <v>108</v>
      </c>
      <c r="B27" s="1" t="s">
        <v>57</v>
      </c>
      <c r="C27" s="1">
        <v>2024</v>
      </c>
      <c r="D27" s="1">
        <v>2024</v>
      </c>
      <c r="E27" s="1" t="s">
        <v>143</v>
      </c>
      <c r="F27" s="1" t="s">
        <v>61</v>
      </c>
      <c r="G27" s="1" t="s">
        <v>88</v>
      </c>
      <c r="I27" s="1" t="s">
        <v>63</v>
      </c>
      <c r="J27" s="1">
        <v>42</v>
      </c>
      <c r="K27" s="1">
        <v>29.7</v>
      </c>
      <c r="M27" s="1" t="s">
        <v>67</v>
      </c>
      <c r="N27" s="8">
        <v>46046</v>
      </c>
      <c r="O27" s="1" t="s">
        <v>64</v>
      </c>
      <c r="R27" s="6" t="s">
        <v>60</v>
      </c>
    </row>
    <row r="28" spans="1:18" x14ac:dyDescent="0.2">
      <c r="A28" s="6" t="s">
        <v>109</v>
      </c>
      <c r="B28" s="1" t="s">
        <v>57</v>
      </c>
      <c r="C28" s="1">
        <v>2024</v>
      </c>
      <c r="D28" s="1">
        <v>2024</v>
      </c>
      <c r="E28" s="1" t="s">
        <v>143</v>
      </c>
      <c r="F28" s="1" t="s">
        <v>61</v>
      </c>
      <c r="G28" s="1" t="s">
        <v>62</v>
      </c>
      <c r="I28" s="1" t="s">
        <v>63</v>
      </c>
      <c r="J28" s="1">
        <v>42</v>
      </c>
      <c r="K28" s="1">
        <v>29.7</v>
      </c>
      <c r="M28" s="1" t="s">
        <v>67</v>
      </c>
      <c r="N28" s="8">
        <v>46046</v>
      </c>
      <c r="O28" s="1" t="s">
        <v>64</v>
      </c>
      <c r="R28" s="6" t="s">
        <v>60</v>
      </c>
    </row>
    <row r="29" spans="1:18" x14ac:dyDescent="0.2">
      <c r="A29" s="6" t="s">
        <v>110</v>
      </c>
      <c r="B29" s="1" t="s">
        <v>57</v>
      </c>
      <c r="C29" s="1">
        <v>2024</v>
      </c>
      <c r="D29" s="1">
        <v>2024</v>
      </c>
      <c r="E29" s="1" t="s">
        <v>143</v>
      </c>
      <c r="F29" s="1" t="s">
        <v>61</v>
      </c>
      <c r="G29" s="1" t="s">
        <v>88</v>
      </c>
      <c r="I29" s="1" t="s">
        <v>63</v>
      </c>
      <c r="J29" s="1">
        <v>42</v>
      </c>
      <c r="K29" s="1">
        <v>29.7</v>
      </c>
      <c r="M29" s="1" t="s">
        <v>67</v>
      </c>
      <c r="N29" s="8">
        <v>46046</v>
      </c>
      <c r="O29" s="1" t="s">
        <v>64</v>
      </c>
      <c r="R29" s="6" t="s">
        <v>60</v>
      </c>
    </row>
    <row r="30" spans="1:18" x14ac:dyDescent="0.2">
      <c r="A30" s="6" t="s">
        <v>111</v>
      </c>
      <c r="B30" s="1" t="s">
        <v>57</v>
      </c>
      <c r="C30" s="1">
        <v>2024</v>
      </c>
      <c r="D30" s="1">
        <v>2024</v>
      </c>
      <c r="E30" s="1" t="s">
        <v>143</v>
      </c>
      <c r="F30" s="1" t="s">
        <v>61</v>
      </c>
      <c r="G30" s="1" t="s">
        <v>62</v>
      </c>
      <c r="I30" s="1" t="s">
        <v>63</v>
      </c>
      <c r="J30" s="1">
        <v>42</v>
      </c>
      <c r="K30" s="1">
        <v>29.7</v>
      </c>
      <c r="M30" s="1" t="s">
        <v>67</v>
      </c>
      <c r="N30" s="8">
        <v>46046</v>
      </c>
      <c r="O30" s="1" t="s">
        <v>64</v>
      </c>
      <c r="R30" s="6" t="s">
        <v>60</v>
      </c>
    </row>
    <row r="31" spans="1:18" x14ac:dyDescent="0.2">
      <c r="A31" s="6" t="s">
        <v>112</v>
      </c>
      <c r="B31" s="1" t="s">
        <v>57</v>
      </c>
      <c r="C31" s="1">
        <v>2024</v>
      </c>
      <c r="D31" s="1">
        <v>2024</v>
      </c>
      <c r="E31" s="1" t="s">
        <v>143</v>
      </c>
      <c r="F31" s="1" t="s">
        <v>61</v>
      </c>
      <c r="G31" s="1" t="s">
        <v>113</v>
      </c>
      <c r="I31" s="1" t="s">
        <v>63</v>
      </c>
      <c r="J31" s="1">
        <v>42</v>
      </c>
      <c r="K31" s="1">
        <v>29.7</v>
      </c>
      <c r="M31" s="1" t="s">
        <v>67</v>
      </c>
      <c r="N31" s="8">
        <v>46046</v>
      </c>
      <c r="O31" s="1" t="s">
        <v>64</v>
      </c>
      <c r="R31" s="6" t="s">
        <v>60</v>
      </c>
    </row>
    <row r="32" spans="1:18" x14ac:dyDescent="0.2">
      <c r="A32" s="6" t="s">
        <v>114</v>
      </c>
      <c r="B32" s="1" t="s">
        <v>57</v>
      </c>
      <c r="C32" s="1">
        <v>2024</v>
      </c>
      <c r="D32" s="1">
        <v>2024</v>
      </c>
      <c r="E32" s="1" t="s">
        <v>143</v>
      </c>
      <c r="F32" s="1" t="s">
        <v>61</v>
      </c>
      <c r="G32" s="1" t="s">
        <v>62</v>
      </c>
      <c r="I32" s="1" t="s">
        <v>63</v>
      </c>
      <c r="J32" s="1">
        <v>42</v>
      </c>
      <c r="K32" s="1">
        <v>29.7</v>
      </c>
      <c r="M32" s="1" t="s">
        <v>67</v>
      </c>
      <c r="N32" s="8">
        <v>46046</v>
      </c>
      <c r="O32" s="1" t="s">
        <v>64</v>
      </c>
      <c r="R32" s="6" t="s">
        <v>60</v>
      </c>
    </row>
    <row r="33" spans="1:18" x14ac:dyDescent="0.2">
      <c r="A33" s="6" t="s">
        <v>115</v>
      </c>
      <c r="B33" s="1" t="s">
        <v>57</v>
      </c>
      <c r="C33" s="1">
        <v>2024</v>
      </c>
      <c r="D33" s="1">
        <v>2024</v>
      </c>
      <c r="E33" s="1" t="s">
        <v>143</v>
      </c>
      <c r="F33" s="1" t="s">
        <v>61</v>
      </c>
      <c r="G33" s="1" t="s">
        <v>62</v>
      </c>
      <c r="I33" s="1" t="s">
        <v>63</v>
      </c>
      <c r="J33" s="1">
        <v>42</v>
      </c>
      <c r="K33" s="1">
        <v>29.7</v>
      </c>
      <c r="M33" s="1" t="s">
        <v>67</v>
      </c>
      <c r="N33" s="8">
        <v>46046</v>
      </c>
      <c r="O33" s="1" t="s">
        <v>64</v>
      </c>
      <c r="R33" s="6" t="s">
        <v>60</v>
      </c>
    </row>
    <row r="34" spans="1:18" x14ac:dyDescent="0.2">
      <c r="A34" s="6" t="s">
        <v>116</v>
      </c>
      <c r="B34" s="1" t="s">
        <v>57</v>
      </c>
      <c r="C34" s="1">
        <v>2024</v>
      </c>
      <c r="D34" s="1">
        <v>2024</v>
      </c>
      <c r="E34" s="1" t="s">
        <v>143</v>
      </c>
      <c r="F34" s="1" t="s">
        <v>61</v>
      </c>
      <c r="G34" s="1" t="s">
        <v>62</v>
      </c>
      <c r="I34" s="1" t="s">
        <v>63</v>
      </c>
      <c r="J34" s="1">
        <v>42</v>
      </c>
      <c r="K34" s="1">
        <v>29.7</v>
      </c>
      <c r="M34" s="1" t="s">
        <v>67</v>
      </c>
      <c r="N34" s="8">
        <v>46046</v>
      </c>
      <c r="O34" s="1" t="s">
        <v>64</v>
      </c>
      <c r="R34" s="6" t="s">
        <v>60</v>
      </c>
    </row>
    <row r="35" spans="1:18" x14ac:dyDescent="0.2">
      <c r="A35" s="6" t="s">
        <v>117</v>
      </c>
      <c r="B35" s="1" t="s">
        <v>118</v>
      </c>
      <c r="C35" s="1">
        <v>2024</v>
      </c>
      <c r="D35" s="1">
        <v>2024</v>
      </c>
      <c r="E35" s="1" t="s">
        <v>143</v>
      </c>
      <c r="F35" s="1" t="s">
        <v>61</v>
      </c>
      <c r="G35" s="1" t="s">
        <v>85</v>
      </c>
      <c r="I35" s="1" t="s">
        <v>63</v>
      </c>
      <c r="J35" s="1">
        <v>42</v>
      </c>
      <c r="K35" s="1">
        <v>29.7</v>
      </c>
      <c r="M35" s="1" t="s">
        <v>67</v>
      </c>
      <c r="N35" s="8">
        <v>46046</v>
      </c>
      <c r="O35" s="1" t="s">
        <v>64</v>
      </c>
      <c r="R35" s="6" t="s">
        <v>60</v>
      </c>
    </row>
    <row r="36" spans="1:18" x14ac:dyDescent="0.2">
      <c r="A36" s="6" t="s">
        <v>119</v>
      </c>
      <c r="B36" s="1" t="s">
        <v>120</v>
      </c>
      <c r="C36" s="1">
        <v>2024</v>
      </c>
      <c r="D36" s="1">
        <v>2024</v>
      </c>
      <c r="E36" s="1" t="s">
        <v>143</v>
      </c>
      <c r="F36" s="1" t="s">
        <v>61</v>
      </c>
      <c r="G36" s="1" t="s">
        <v>85</v>
      </c>
      <c r="I36" s="1" t="s">
        <v>63</v>
      </c>
      <c r="J36" s="1">
        <v>42</v>
      </c>
      <c r="K36" s="1">
        <v>29.7</v>
      </c>
      <c r="M36" s="1" t="s">
        <v>67</v>
      </c>
      <c r="N36" s="8">
        <v>46046</v>
      </c>
      <c r="O36" s="1" t="s">
        <v>64</v>
      </c>
      <c r="R36" s="6" t="s">
        <v>60</v>
      </c>
    </row>
    <row r="37" spans="1:18" x14ac:dyDescent="0.2">
      <c r="A37" s="6" t="s">
        <v>121</v>
      </c>
      <c r="B37" s="1" t="s">
        <v>57</v>
      </c>
      <c r="C37" s="1">
        <v>2024</v>
      </c>
      <c r="D37" s="1">
        <v>2024</v>
      </c>
      <c r="E37" s="1" t="s">
        <v>143</v>
      </c>
      <c r="F37" s="1" t="s">
        <v>61</v>
      </c>
      <c r="G37" s="1" t="s">
        <v>85</v>
      </c>
      <c r="I37" s="1" t="s">
        <v>63</v>
      </c>
      <c r="J37" s="1">
        <v>42</v>
      </c>
      <c r="K37" s="1">
        <v>29.7</v>
      </c>
      <c r="M37" s="1" t="s">
        <v>67</v>
      </c>
      <c r="N37" s="8">
        <v>46046</v>
      </c>
      <c r="O37" s="1" t="s">
        <v>64</v>
      </c>
      <c r="R37" s="6" t="s">
        <v>60</v>
      </c>
    </row>
    <row r="38" spans="1:18" x14ac:dyDescent="0.2">
      <c r="A38" s="6" t="s">
        <v>122</v>
      </c>
      <c r="B38" s="1" t="s">
        <v>57</v>
      </c>
      <c r="C38" s="1">
        <v>2024</v>
      </c>
      <c r="D38" s="1">
        <v>2024</v>
      </c>
      <c r="E38" s="1" t="s">
        <v>143</v>
      </c>
      <c r="F38" s="1" t="s">
        <v>61</v>
      </c>
      <c r="G38" s="1" t="s">
        <v>123</v>
      </c>
      <c r="I38" s="1" t="s">
        <v>63</v>
      </c>
      <c r="J38" s="1">
        <v>42</v>
      </c>
      <c r="K38" s="1">
        <v>29.7</v>
      </c>
      <c r="M38" s="1" t="s">
        <v>67</v>
      </c>
      <c r="N38" s="8">
        <v>46046</v>
      </c>
      <c r="O38" s="1" t="s">
        <v>64</v>
      </c>
      <c r="R38" s="6" t="s">
        <v>60</v>
      </c>
    </row>
    <row r="39" spans="1:18" x14ac:dyDescent="0.2">
      <c r="A39" s="6" t="s">
        <v>124</v>
      </c>
      <c r="B39" s="1" t="s">
        <v>57</v>
      </c>
      <c r="C39" s="1">
        <v>2024</v>
      </c>
      <c r="D39" s="1">
        <v>2024</v>
      </c>
      <c r="E39" s="1" t="s">
        <v>143</v>
      </c>
      <c r="F39" s="1" t="s">
        <v>61</v>
      </c>
      <c r="G39" s="1" t="s">
        <v>123</v>
      </c>
      <c r="I39" s="1" t="s">
        <v>63</v>
      </c>
      <c r="J39" s="1">
        <v>42</v>
      </c>
      <c r="K39" s="1">
        <v>29.7</v>
      </c>
      <c r="M39" s="1" t="s">
        <v>67</v>
      </c>
      <c r="N39" s="8">
        <v>46046</v>
      </c>
      <c r="O39" s="1" t="s">
        <v>64</v>
      </c>
      <c r="R39" s="6" t="s">
        <v>60</v>
      </c>
    </row>
    <row r="40" spans="1:18" x14ac:dyDescent="0.2">
      <c r="A40" s="6" t="s">
        <v>125</v>
      </c>
      <c r="B40" s="1" t="s">
        <v>57</v>
      </c>
      <c r="C40" s="1">
        <v>2024</v>
      </c>
      <c r="D40" s="1">
        <v>2024</v>
      </c>
      <c r="E40" s="1" t="s">
        <v>143</v>
      </c>
      <c r="F40" s="1" t="s">
        <v>61</v>
      </c>
      <c r="G40" s="1" t="s">
        <v>81</v>
      </c>
      <c r="I40" s="1" t="s">
        <v>63</v>
      </c>
      <c r="J40" s="1">
        <v>42</v>
      </c>
      <c r="K40" s="1">
        <v>29.7</v>
      </c>
      <c r="M40" s="1" t="s">
        <v>67</v>
      </c>
      <c r="N40" s="8">
        <v>46046</v>
      </c>
      <c r="O40" s="1" t="s">
        <v>64</v>
      </c>
      <c r="R40" s="6" t="s">
        <v>60</v>
      </c>
    </row>
    <row r="41" spans="1:18" x14ac:dyDescent="0.2">
      <c r="A41" s="6" t="s">
        <v>126</v>
      </c>
      <c r="B41" s="1" t="s">
        <v>57</v>
      </c>
      <c r="C41" s="1">
        <v>2024</v>
      </c>
      <c r="D41" s="1">
        <v>2024</v>
      </c>
      <c r="E41" s="1" t="s">
        <v>143</v>
      </c>
      <c r="F41" s="1" t="s">
        <v>61</v>
      </c>
      <c r="G41" s="1" t="s">
        <v>81</v>
      </c>
      <c r="I41" s="1" t="s">
        <v>63</v>
      </c>
      <c r="J41" s="1">
        <v>42</v>
      </c>
      <c r="K41" s="1">
        <v>29.7</v>
      </c>
      <c r="M41" s="1" t="s">
        <v>67</v>
      </c>
      <c r="N41" s="8">
        <v>46046</v>
      </c>
      <c r="O41" s="1" t="s">
        <v>64</v>
      </c>
      <c r="R41" s="6" t="s">
        <v>60</v>
      </c>
    </row>
    <row r="42" spans="1:18" x14ac:dyDescent="0.2">
      <c r="A42" s="6" t="s">
        <v>127</v>
      </c>
      <c r="B42" s="1" t="s">
        <v>57</v>
      </c>
      <c r="C42" s="1">
        <v>2024</v>
      </c>
      <c r="D42" s="1">
        <v>2024</v>
      </c>
      <c r="E42" s="1" t="s">
        <v>143</v>
      </c>
      <c r="F42" s="1" t="s">
        <v>61</v>
      </c>
      <c r="G42" s="1" t="s">
        <v>81</v>
      </c>
      <c r="I42" s="1" t="s">
        <v>63</v>
      </c>
      <c r="J42" s="1">
        <v>42</v>
      </c>
      <c r="K42" s="1">
        <v>29.7</v>
      </c>
      <c r="M42" s="1" t="s">
        <v>67</v>
      </c>
      <c r="N42" s="8">
        <v>46046</v>
      </c>
      <c r="O42" s="1" t="s">
        <v>64</v>
      </c>
      <c r="R42" s="6" t="s">
        <v>60</v>
      </c>
    </row>
    <row r="43" spans="1:18" x14ac:dyDescent="0.2">
      <c r="A43" s="6" t="s">
        <v>128</v>
      </c>
      <c r="B43" s="1" t="s">
        <v>57</v>
      </c>
      <c r="C43" s="1">
        <v>2024</v>
      </c>
      <c r="D43" s="1">
        <v>2024</v>
      </c>
      <c r="E43" s="1" t="s">
        <v>143</v>
      </c>
      <c r="F43" s="1" t="s">
        <v>61</v>
      </c>
      <c r="G43" s="1" t="s">
        <v>62</v>
      </c>
      <c r="I43" s="1" t="s">
        <v>63</v>
      </c>
      <c r="J43" s="1">
        <v>42</v>
      </c>
      <c r="K43" s="1">
        <v>29.7</v>
      </c>
      <c r="M43" s="1" t="s">
        <v>67</v>
      </c>
      <c r="N43" s="8">
        <v>46046</v>
      </c>
      <c r="O43" s="1" t="s">
        <v>64</v>
      </c>
      <c r="R43" s="6" t="s">
        <v>60</v>
      </c>
    </row>
    <row r="44" spans="1:18" x14ac:dyDescent="0.2">
      <c r="A44" s="6" t="s">
        <v>129</v>
      </c>
      <c r="B44" s="1" t="s">
        <v>57</v>
      </c>
      <c r="C44" s="1">
        <v>2024</v>
      </c>
      <c r="D44" s="1">
        <v>2024</v>
      </c>
      <c r="E44" s="1" t="s">
        <v>143</v>
      </c>
      <c r="F44" s="1" t="s">
        <v>61</v>
      </c>
      <c r="G44" s="1" t="s">
        <v>85</v>
      </c>
      <c r="I44" s="1" t="s">
        <v>63</v>
      </c>
      <c r="J44" s="1">
        <v>42</v>
      </c>
      <c r="K44" s="1">
        <v>29.7</v>
      </c>
      <c r="M44" s="1" t="s">
        <v>67</v>
      </c>
      <c r="N44" s="8">
        <v>46046</v>
      </c>
      <c r="O44" s="1" t="s">
        <v>64</v>
      </c>
      <c r="R44" s="6" t="s">
        <v>60</v>
      </c>
    </row>
    <row r="45" spans="1:18" x14ac:dyDescent="0.2">
      <c r="A45" s="6" t="s">
        <v>130</v>
      </c>
      <c r="B45" s="1" t="s">
        <v>57</v>
      </c>
      <c r="C45" s="1">
        <v>2024</v>
      </c>
      <c r="D45" s="1">
        <v>2024</v>
      </c>
      <c r="E45" s="1" t="s">
        <v>143</v>
      </c>
      <c r="F45" s="1" t="s">
        <v>61</v>
      </c>
      <c r="G45" s="1" t="s">
        <v>81</v>
      </c>
      <c r="I45" s="1" t="s">
        <v>63</v>
      </c>
      <c r="J45" s="1">
        <v>42</v>
      </c>
      <c r="K45" s="1">
        <v>29.7</v>
      </c>
      <c r="M45" s="1" t="s">
        <v>67</v>
      </c>
      <c r="N45" s="8">
        <v>46046</v>
      </c>
      <c r="O45" s="1" t="s">
        <v>64</v>
      </c>
      <c r="R45" s="6" t="s">
        <v>60</v>
      </c>
    </row>
    <row r="46" spans="1:18" x14ac:dyDescent="0.2">
      <c r="A46" s="6" t="s">
        <v>131</v>
      </c>
      <c r="B46" s="1" t="s">
        <v>57</v>
      </c>
      <c r="C46" s="1">
        <v>2024</v>
      </c>
      <c r="D46" s="1">
        <v>2024</v>
      </c>
      <c r="E46" s="1" t="s">
        <v>143</v>
      </c>
      <c r="F46" s="1" t="s">
        <v>61</v>
      </c>
      <c r="G46" s="1" t="s">
        <v>81</v>
      </c>
      <c r="I46" s="1" t="s">
        <v>63</v>
      </c>
      <c r="J46" s="1">
        <v>42</v>
      </c>
      <c r="K46" s="1">
        <v>29.7</v>
      </c>
      <c r="M46" s="1" t="s">
        <v>67</v>
      </c>
      <c r="N46" s="8">
        <v>46046</v>
      </c>
      <c r="O46" s="1" t="s">
        <v>64</v>
      </c>
      <c r="R46" s="6" t="s">
        <v>60</v>
      </c>
    </row>
    <row r="47" spans="1:18" x14ac:dyDescent="0.2">
      <c r="A47" s="6" t="s">
        <v>132</v>
      </c>
      <c r="B47" s="1" t="s">
        <v>57</v>
      </c>
      <c r="C47" s="1">
        <v>2024</v>
      </c>
      <c r="D47" s="1">
        <v>2024</v>
      </c>
      <c r="E47" s="1" t="s">
        <v>143</v>
      </c>
      <c r="F47" s="1" t="s">
        <v>61</v>
      </c>
      <c r="G47" s="1" t="s">
        <v>123</v>
      </c>
      <c r="I47" s="1" t="s">
        <v>63</v>
      </c>
      <c r="J47" s="1">
        <v>42</v>
      </c>
      <c r="K47" s="1">
        <v>29.7</v>
      </c>
      <c r="M47" s="1" t="s">
        <v>67</v>
      </c>
      <c r="N47" s="8">
        <v>46046</v>
      </c>
      <c r="O47" s="1" t="s">
        <v>64</v>
      </c>
      <c r="R47" s="6" t="s">
        <v>60</v>
      </c>
    </row>
    <row r="48" spans="1:18" x14ac:dyDescent="0.2">
      <c r="A48" s="6" t="s">
        <v>133</v>
      </c>
      <c r="B48" s="1" t="s">
        <v>57</v>
      </c>
      <c r="C48" s="1">
        <v>2024</v>
      </c>
      <c r="D48" s="1">
        <v>2024</v>
      </c>
      <c r="E48" s="1" t="s">
        <v>143</v>
      </c>
      <c r="F48" s="1" t="s">
        <v>61</v>
      </c>
      <c r="G48" s="1" t="s">
        <v>81</v>
      </c>
      <c r="I48" s="1" t="s">
        <v>63</v>
      </c>
      <c r="J48" s="1">
        <v>42</v>
      </c>
      <c r="K48" s="1">
        <v>29.7</v>
      </c>
      <c r="M48" s="1" t="s">
        <v>67</v>
      </c>
      <c r="N48" s="8">
        <v>46046</v>
      </c>
      <c r="O48" s="1" t="s">
        <v>64</v>
      </c>
      <c r="R48" s="6" t="s">
        <v>60</v>
      </c>
    </row>
    <row r="49" spans="1:18" x14ac:dyDescent="0.2">
      <c r="A49" s="6" t="s">
        <v>134</v>
      </c>
      <c r="B49" s="1" t="s">
        <v>57</v>
      </c>
      <c r="C49" s="1">
        <v>2024</v>
      </c>
      <c r="D49" s="1">
        <v>2024</v>
      </c>
      <c r="E49" s="1" t="s">
        <v>143</v>
      </c>
      <c r="F49" s="1" t="s">
        <v>61</v>
      </c>
      <c r="G49" s="1" t="s">
        <v>81</v>
      </c>
      <c r="I49" s="1" t="s">
        <v>63</v>
      </c>
      <c r="J49" s="1">
        <v>42</v>
      </c>
      <c r="K49" s="1">
        <v>29.7</v>
      </c>
      <c r="M49" s="1" t="s">
        <v>67</v>
      </c>
      <c r="N49" s="8">
        <v>46046</v>
      </c>
      <c r="O49" s="1" t="s">
        <v>64</v>
      </c>
      <c r="R49" s="6" t="s">
        <v>60</v>
      </c>
    </row>
    <row r="50" spans="1:18" x14ac:dyDescent="0.2">
      <c r="A50" s="6" t="s">
        <v>135</v>
      </c>
      <c r="B50" s="1" t="s">
        <v>57</v>
      </c>
      <c r="C50" s="1">
        <v>2024</v>
      </c>
      <c r="D50" s="1">
        <v>2024</v>
      </c>
      <c r="E50" s="1" t="s">
        <v>143</v>
      </c>
      <c r="F50" s="1" t="s">
        <v>61</v>
      </c>
      <c r="G50" s="1" t="s">
        <v>81</v>
      </c>
      <c r="I50" s="1" t="s">
        <v>63</v>
      </c>
      <c r="J50" s="1">
        <v>42</v>
      </c>
      <c r="K50" s="1">
        <v>29.7</v>
      </c>
      <c r="M50" s="1" t="s">
        <v>67</v>
      </c>
      <c r="N50" s="8">
        <v>46046</v>
      </c>
      <c r="O50" s="1" t="s">
        <v>64</v>
      </c>
      <c r="R50" s="6" t="s">
        <v>60</v>
      </c>
    </row>
    <row r="51" spans="1:18" x14ac:dyDescent="0.2">
      <c r="A51" s="6" t="s">
        <v>136</v>
      </c>
      <c r="B51" s="1" t="s">
        <v>57</v>
      </c>
      <c r="C51" s="1">
        <v>2024</v>
      </c>
      <c r="D51" s="1">
        <v>2024</v>
      </c>
      <c r="E51" s="1" t="s">
        <v>143</v>
      </c>
      <c r="F51" s="1" t="s">
        <v>61</v>
      </c>
      <c r="G51" s="1" t="s">
        <v>81</v>
      </c>
      <c r="I51" s="1" t="s">
        <v>63</v>
      </c>
      <c r="J51" s="1">
        <v>42</v>
      </c>
      <c r="K51" s="1">
        <v>29.7</v>
      </c>
      <c r="M51" s="1" t="s">
        <v>67</v>
      </c>
      <c r="N51" s="8">
        <v>46046</v>
      </c>
      <c r="O51" s="1" t="s">
        <v>64</v>
      </c>
      <c r="R51" s="6" t="s">
        <v>60</v>
      </c>
    </row>
    <row r="52" spans="1:18" x14ac:dyDescent="0.2">
      <c r="A52" s="6" t="s">
        <v>137</v>
      </c>
      <c r="B52" s="1" t="s">
        <v>57</v>
      </c>
      <c r="C52" s="1">
        <v>2024</v>
      </c>
      <c r="D52" s="1">
        <v>2024</v>
      </c>
      <c r="E52" s="1" t="s">
        <v>143</v>
      </c>
      <c r="F52" s="1" t="s">
        <v>61</v>
      </c>
      <c r="G52" s="1" t="s">
        <v>81</v>
      </c>
      <c r="I52" s="1" t="s">
        <v>63</v>
      </c>
      <c r="J52" s="1">
        <v>42</v>
      </c>
      <c r="K52" s="1">
        <v>29.7</v>
      </c>
      <c r="M52" s="1" t="s">
        <v>67</v>
      </c>
      <c r="N52" s="8">
        <v>46046</v>
      </c>
      <c r="O52" s="1" t="s">
        <v>64</v>
      </c>
      <c r="R52" s="6" t="s">
        <v>60</v>
      </c>
    </row>
    <row r="53" spans="1:18" x14ac:dyDescent="0.2">
      <c r="A53" s="6" t="s">
        <v>138</v>
      </c>
      <c r="B53" s="1" t="s">
        <v>57</v>
      </c>
      <c r="C53" s="1">
        <v>2024</v>
      </c>
      <c r="D53" s="1">
        <v>2024</v>
      </c>
      <c r="E53" s="1" t="s">
        <v>143</v>
      </c>
      <c r="F53" s="1" t="s">
        <v>61</v>
      </c>
      <c r="G53" s="1" t="s">
        <v>81</v>
      </c>
      <c r="I53" s="1" t="s">
        <v>63</v>
      </c>
      <c r="J53" s="1">
        <v>42</v>
      </c>
      <c r="K53" s="1">
        <v>29.7</v>
      </c>
      <c r="M53" s="1" t="s">
        <v>67</v>
      </c>
      <c r="N53" s="8">
        <v>46046</v>
      </c>
      <c r="O53" s="1" t="s">
        <v>64</v>
      </c>
      <c r="R53" s="6" t="s">
        <v>60</v>
      </c>
    </row>
    <row r="54" spans="1:18" x14ac:dyDescent="0.2">
      <c r="A54" s="6" t="s">
        <v>139</v>
      </c>
      <c r="B54" s="1" t="s">
        <v>57</v>
      </c>
      <c r="C54" s="1">
        <v>2024</v>
      </c>
      <c r="D54" s="1">
        <v>2024</v>
      </c>
      <c r="E54" s="1" t="s">
        <v>143</v>
      </c>
      <c r="F54" s="1" t="s">
        <v>61</v>
      </c>
      <c r="G54" s="1" t="s">
        <v>85</v>
      </c>
      <c r="I54" s="1" t="s">
        <v>63</v>
      </c>
      <c r="J54" s="1">
        <v>42</v>
      </c>
      <c r="K54" s="1">
        <v>29.7</v>
      </c>
      <c r="M54" s="1" t="s">
        <v>67</v>
      </c>
      <c r="N54" s="8">
        <v>46046</v>
      </c>
      <c r="O54" s="1" t="s">
        <v>64</v>
      </c>
      <c r="R54" s="6" t="s">
        <v>60</v>
      </c>
    </row>
    <row r="55" spans="1:18" x14ac:dyDescent="0.2">
      <c r="A55" s="6" t="s">
        <v>140</v>
      </c>
      <c r="B55" s="1" t="s">
        <v>57</v>
      </c>
      <c r="C55" s="1">
        <v>2024</v>
      </c>
      <c r="D55" s="1">
        <v>2024</v>
      </c>
      <c r="E55" s="1" t="s">
        <v>143</v>
      </c>
      <c r="F55" s="1" t="s">
        <v>61</v>
      </c>
      <c r="G55" s="1" t="s">
        <v>62</v>
      </c>
      <c r="I55" s="1" t="s">
        <v>63</v>
      </c>
      <c r="J55" s="1">
        <v>42</v>
      </c>
      <c r="K55" s="1">
        <v>29.7</v>
      </c>
      <c r="M55" s="1" t="s">
        <v>67</v>
      </c>
      <c r="N55" s="8">
        <v>46046</v>
      </c>
      <c r="O55" s="1" t="s">
        <v>64</v>
      </c>
      <c r="R55" s="6" t="s">
        <v>60</v>
      </c>
    </row>
    <row r="56" spans="1:18" x14ac:dyDescent="0.2">
      <c r="A56" s="6" t="s">
        <v>141</v>
      </c>
      <c r="B56" s="1" t="s">
        <v>57</v>
      </c>
      <c r="C56" s="1">
        <v>2024</v>
      </c>
      <c r="D56" s="1">
        <v>2024</v>
      </c>
      <c r="E56" s="1" t="s">
        <v>143</v>
      </c>
      <c r="F56" s="1" t="s">
        <v>61</v>
      </c>
      <c r="G56" s="1" t="s">
        <v>62</v>
      </c>
      <c r="I56" s="1" t="s">
        <v>63</v>
      </c>
      <c r="J56" s="1">
        <v>42</v>
      </c>
      <c r="K56" s="1">
        <v>29.7</v>
      </c>
      <c r="M56" s="1" t="s">
        <v>67</v>
      </c>
      <c r="N56" s="8">
        <v>46046</v>
      </c>
      <c r="O56" s="1" t="s">
        <v>64</v>
      </c>
      <c r="R56" s="6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D9C38-EEDE-3B48-B7E6-A7692F053C8D}">
  <dimension ref="A1:C2"/>
  <sheetViews>
    <sheetView workbookViewId="0">
      <selection activeCell="B4" sqref="B4"/>
    </sheetView>
  </sheetViews>
  <sheetFormatPr baseColWidth="10" defaultRowHeight="16" x14ac:dyDescent="0.2"/>
  <cols>
    <col min="1" max="1" width="15.83203125" customWidth="1"/>
    <col min="2" max="2" width="24.83203125" customWidth="1"/>
    <col min="3" max="3" width="28.1640625" customWidth="1"/>
  </cols>
  <sheetData>
    <row r="1" spans="1:3" ht="17" x14ac:dyDescent="0.2">
      <c r="A1" s="3" t="s">
        <v>3</v>
      </c>
      <c r="B1" s="3" t="s">
        <v>150</v>
      </c>
      <c r="C1" s="3" t="s">
        <v>151</v>
      </c>
    </row>
    <row r="2" spans="1:3" ht="17" x14ac:dyDescent="0.2">
      <c r="A2" s="6" t="s">
        <v>56</v>
      </c>
      <c r="B2" s="1" t="s">
        <v>68</v>
      </c>
      <c r="C2" s="1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8475-BE87-C444-A643-36F19988A384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7" x14ac:dyDescent="0.2"/>
  <cols>
    <col min="1" max="1" width="25.83203125" style="1" customWidth="1"/>
    <col min="2" max="3" width="20.83203125" style="1" customWidth="1"/>
    <col min="4" max="4" width="19.83203125" style="1" customWidth="1"/>
    <col min="5" max="5" width="19" style="1" bestFit="1" customWidth="1"/>
    <col min="6" max="16384" width="10.83203125" style="1"/>
  </cols>
  <sheetData>
    <row r="1" spans="1:4" s="3" customFormat="1" x14ac:dyDescent="0.2">
      <c r="A1" s="3" t="s">
        <v>146</v>
      </c>
      <c r="B1" s="3" t="s">
        <v>147</v>
      </c>
      <c r="C1" s="3" t="s">
        <v>5</v>
      </c>
      <c r="D1" s="3" t="s">
        <v>12</v>
      </c>
    </row>
    <row r="2" spans="1:4" x14ac:dyDescent="0.2">
      <c r="A2" s="6" t="s">
        <v>143</v>
      </c>
      <c r="B2" s="6" t="s">
        <v>58</v>
      </c>
      <c r="C2" s="6">
        <v>2025</v>
      </c>
      <c r="D2" s="1" t="s">
        <v>148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0762-04EB-FC46-90C1-9A8DE33FBED9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10" defaultRowHeight="17" x14ac:dyDescent="0.2"/>
  <cols>
    <col min="1" max="3" width="20.83203125" style="1" customWidth="1"/>
    <col min="4" max="4" width="26.83203125" style="1" customWidth="1"/>
    <col min="5" max="16384" width="10.83203125" style="1"/>
  </cols>
  <sheetData>
    <row r="1" spans="1:4" s="3" customFormat="1" x14ac:dyDescent="0.2">
      <c r="A1" s="3" t="s">
        <v>142</v>
      </c>
      <c r="B1" s="3" t="s">
        <v>144</v>
      </c>
      <c r="C1" s="3" t="s">
        <v>145</v>
      </c>
    </row>
    <row r="2" spans="1:4" x14ac:dyDescent="0.2">
      <c r="A2" s="6" t="s">
        <v>149</v>
      </c>
      <c r="B2" s="6" t="s">
        <v>149</v>
      </c>
      <c r="C2" s="8">
        <v>46051</v>
      </c>
      <c r="D2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348F-09E6-1C4F-A712-D75D02A09D8F}">
  <dimension ref="A1:B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RowHeight="17" x14ac:dyDescent="0.2"/>
  <cols>
    <col min="1" max="1" width="20.83203125" style="1" customWidth="1"/>
    <col min="2" max="2" width="29.6640625" style="1" customWidth="1"/>
    <col min="3" max="16384" width="10.83203125" style="1"/>
  </cols>
  <sheetData>
    <row r="1" spans="1:2" s="3" customFormat="1" x14ac:dyDescent="0.2">
      <c r="A1" s="3" t="s">
        <v>142</v>
      </c>
      <c r="B1" s="3" t="s">
        <v>146</v>
      </c>
    </row>
    <row r="2" spans="1:2" x14ac:dyDescent="0.2">
      <c r="A2" s="6" t="s">
        <v>149</v>
      </c>
      <c r="B2" s="6" t="s">
        <v>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schema</vt:lpstr>
      <vt:lpstr>Works</vt:lpstr>
      <vt:lpstr>WorkFiles</vt:lpstr>
      <vt:lpstr>Series</vt:lpstr>
      <vt:lpstr>Themes</vt:lpstr>
      <vt:lpstr>ThemeSeries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2026-01-31T13:07:11Z</dcterms:modified>
</cp:coreProperties>
</file>