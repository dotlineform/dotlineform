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lf/Developer/dotlineform/dotlineform-site/data/"/>
    </mc:Choice>
  </mc:AlternateContent>
  <xr:revisionPtr revIDLastSave="0" documentId="13_ncr:1_{6C379724-714B-B446-9BB5-31038C8D6207}" xr6:coauthVersionLast="47" xr6:coauthVersionMax="47" xr10:uidLastSave="{00000000-0000-0000-0000-000000000000}"/>
  <bookViews>
    <workbookView xWindow="0" yWindow="660" windowWidth="34560" windowHeight="20600" activeTab="1" xr2:uid="{3340F1A4-2CEC-C74D-85F7-446226E10E48}"/>
  </bookViews>
  <sheets>
    <sheet name="schema" sheetId="1" r:id="rId1"/>
    <sheet name="Works" sheetId="2" r:id="rId2"/>
    <sheet name="WorkImages" sheetId="3" r:id="rId3"/>
    <sheet name="WorkAttachments" sheetId="5" r:id="rId4"/>
    <sheet name="lookup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7" i="1"/>
  <c r="A40" i="1"/>
  <c r="A39" i="1"/>
  <c r="A5" i="1"/>
  <c r="A31" i="1"/>
  <c r="A11" i="1"/>
  <c r="A12" i="1"/>
  <c r="A33" i="1"/>
  <c r="A32" i="1"/>
  <c r="A30" i="1"/>
  <c r="A29" i="1"/>
  <c r="A28" i="1"/>
  <c r="A27" i="1"/>
  <c r="A26" i="1"/>
  <c r="A21" i="1"/>
  <c r="A20" i="1"/>
  <c r="A19" i="1"/>
  <c r="A15" i="1"/>
  <c r="A14" i="1"/>
  <c r="A13" i="1"/>
  <c r="A22" i="1"/>
  <c r="A18" i="1"/>
  <c r="A17" i="1"/>
  <c r="A16" i="1"/>
  <c r="A9" i="1"/>
  <c r="A10" i="1"/>
  <c r="A8" i="1"/>
  <c r="A7" i="1"/>
  <c r="A6" i="1"/>
  <c r="A4" i="1"/>
</calcChain>
</file>

<file path=xl/sharedStrings.xml><?xml version="1.0" encoding="utf-8"?>
<sst xmlns="http://schemas.openxmlformats.org/spreadsheetml/2006/main" count="646" uniqueCount="187">
  <si>
    <t>Column name</t>
  </si>
  <si>
    <t>Description</t>
  </si>
  <si>
    <t>Purpose</t>
  </si>
  <si>
    <t>work_id</t>
  </si>
  <si>
    <t>title</t>
  </si>
  <si>
    <t>year</t>
  </si>
  <si>
    <t>series</t>
  </si>
  <si>
    <t>tags</t>
  </si>
  <si>
    <t>orientation</t>
  </si>
  <si>
    <t>notes_private</t>
  </si>
  <si>
    <t>Internal-only notes (not exported).</t>
  </si>
  <si>
    <t>provenance</t>
  </si>
  <si>
    <t>Ownership/loan/sales notes (usually private).</t>
  </si>
  <si>
    <t>checksum</t>
  </si>
  <si>
    <t>image_id</t>
  </si>
  <si>
    <t>role</t>
  </si>
  <si>
    <t>file</t>
  </si>
  <si>
    <t>caption</t>
  </si>
  <si>
    <t>year_display</t>
  </si>
  <si>
    <t>when year is not known or approximate e.g. c. 1990</t>
  </si>
  <si>
    <t>for display in UI</t>
  </si>
  <si>
    <t>height_cm</t>
  </si>
  <si>
    <t>width_cm</t>
  </si>
  <si>
    <t>depth_cm</t>
  </si>
  <si>
    <t>duration</t>
  </si>
  <si>
    <t>optional, short</t>
  </si>
  <si>
    <t>supplementary images</t>
  </si>
  <si>
    <t>master table (one row per work)</t>
  </si>
  <si>
    <t>WorkImages</t>
  </si>
  <si>
    <t>Works</t>
  </si>
  <si>
    <t>in table</t>
  </si>
  <si>
    <t>Works.tags</t>
  </si>
  <si>
    <t>WorkImages.role</t>
  </si>
  <si>
    <t>physical dimensions</t>
  </si>
  <si>
    <t>Lookup</t>
  </si>
  <si>
    <t>catalogue_date</t>
  </si>
  <si>
    <t>portrait | landscape | square</t>
  </si>
  <si>
    <t>commentary and process notes.</t>
  </si>
  <si>
    <t>title. not necessarily unique e.g. 'untitled'</t>
  </si>
  <si>
    <t>creation year, integer</t>
  </si>
  <si>
    <t>primary key for filenames, URLs, image object keys, and cross-references.</t>
  </si>
  <si>
    <t>display name</t>
  </si>
  <si>
    <t>sorting, filtering, and context.</t>
  </si>
  <si>
    <t>series name if work is part of a group</t>
  </si>
  <si>
    <t>semicolon-separated tags e.g., wetlands;memory;ink</t>
  </si>
  <si>
    <t>search and thematic grouping.</t>
  </si>
  <si>
    <t>date entered into the catalogue</t>
  </si>
  <si>
    <t>progress tracking, “recently added”</t>
  </si>
  <si>
    <t>layout decisions</t>
  </si>
  <si>
    <t>physical height cm</t>
  </si>
  <si>
    <t>physical width cm</t>
  </si>
  <si>
    <t>physical depth cm</t>
  </si>
  <si>
    <t>framed or sculptural context</t>
  </si>
  <si>
    <t>internal record keeping; avoid publishing sensitive details.</t>
  </si>
  <si>
    <t>hash of work item page</t>
  </si>
  <si>
    <t>check if metadata has been updated and needs committing</t>
  </si>
  <si>
    <t>storage_location</t>
  </si>
  <si>
    <t>storage reference e.g. Box 3</t>
  </si>
  <si>
    <t>internal logistics e.g. where is this drawing stored?</t>
  </si>
  <si>
    <t>e.g. ink on paper, digital c-type print, 1080p video</t>
  </si>
  <si>
    <t>for work item description</t>
  </si>
  <si>
    <t>join supplemental images to a work page.</t>
  </si>
  <si>
    <t>detail | wip | install | alternate</t>
  </si>
  <si>
    <t>consistent meaning and optional grouping on the work page.</t>
  </si>
  <si>
    <t>not derived from other fields, leave work-specific and follow master image naming</t>
  </si>
  <si>
    <t>context to detail / wip images.</t>
  </si>
  <si>
    <t>progress timeline context if available</t>
  </si>
  <si>
    <t>image_date</t>
  </si>
  <si>
    <t>internal-only notes (not exported)</t>
  </si>
  <si>
    <t>admin commentary and process notes.</t>
  </si>
  <si>
    <t>optional date e.g. WIP date</t>
  </si>
  <si>
    <t>supports curated groupings and 'more in this series'</t>
  </si>
  <si>
    <t>e.g. drawing, painting, photography</t>
  </si>
  <si>
    <t>for audio / video works</t>
  </si>
  <si>
    <t>taxonomy, filtering, search</t>
  </si>
  <si>
    <t>yes</t>
  </si>
  <si>
    <t>medium_type</t>
  </si>
  <si>
    <t>medium_caption</t>
  </si>
  <si>
    <t>Works.medium_type</t>
  </si>
  <si>
    <t>yes - in cell list</t>
  </si>
  <si>
    <t>yes - lookup list</t>
  </si>
  <si>
    <t>Works.storage_location</t>
  </si>
  <si>
    <t>for reference only - lookup list</t>
  </si>
  <si>
    <t>00286</t>
  </si>
  <si>
    <t>untitled</t>
  </si>
  <si>
    <t>curve poems</t>
  </si>
  <si>
    <t>alt</t>
  </si>
  <si>
    <t>alt description e.g. 'Detail of work 00286'</t>
  </si>
  <si>
    <t>accessibility</t>
  </si>
  <si>
    <t>public label</t>
  </si>
  <si>
    <t>Michael Davies</t>
  </si>
  <si>
    <t>drawing</t>
  </si>
  <si>
    <t>pencil on paper</t>
  </si>
  <si>
    <t>portrait</t>
  </si>
  <si>
    <t>box 2 (A3)</t>
  </si>
  <si>
    <t>00361</t>
  </si>
  <si>
    <t>landscape</t>
  </si>
  <si>
    <t>curves;intuition</t>
  </si>
  <si>
    <t>001</t>
  </si>
  <si>
    <t>detail</t>
  </si>
  <si>
    <t>reference for image rows; debugging, curation, sorting</t>
  </si>
  <si>
    <t>00286-detail-001.webp</t>
  </si>
  <si>
    <t>Detail 1</t>
  </si>
  <si>
    <t>Detail 1 of work 00286</t>
  </si>
  <si>
    <t>00286-work-card.pdf</t>
  </si>
  <si>
    <t>label</t>
  </si>
  <si>
    <t>work card (PDF)</t>
  </si>
  <si>
    <t>WorkAttachments</t>
  </si>
  <si>
    <t>file downloads</t>
  </si>
  <si>
    <t>e.g. 'work card (PDF)'</t>
  </si>
  <si>
    <t>list label</t>
  </si>
  <si>
    <t>attachment_id</t>
  </si>
  <si>
    <t>file name in the scope of the work item</t>
  </si>
  <si>
    <t>ID for the attachment file e.g. 001</t>
  </si>
  <si>
    <t>ID for the image record e.g. 001</t>
  </si>
  <si>
    <t>sequential ID (e.g. 00286), text</t>
  </si>
  <si>
    <t>filename e.g. 00286-detail-001.webp</t>
  </si>
  <si>
    <t>file name e.g. '00286-work-card.pdf' (all file types are treated as 'attachments')</t>
  </si>
  <si>
    <t>pencil and ink on paper</t>
  </si>
  <si>
    <t>83 particles</t>
  </si>
  <si>
    <t>artist</t>
  </si>
  <si>
    <t>can be more than one if collaboration</t>
  </si>
  <si>
    <t>foreign key to Works.work_id e.g. 00286</t>
  </si>
  <si>
    <t>00287</t>
  </si>
  <si>
    <t>00289</t>
  </si>
  <si>
    <t>00288</t>
  </si>
  <si>
    <t>ink on paper</t>
  </si>
  <si>
    <t>00290</t>
  </si>
  <si>
    <t>00291</t>
  </si>
  <si>
    <t>00292</t>
  </si>
  <si>
    <t>pen on paper</t>
  </si>
  <si>
    <t>pen and white spirit on paper</t>
  </si>
  <si>
    <t>00293</t>
  </si>
  <si>
    <t>pen and pencil on paper</t>
  </si>
  <si>
    <t>00294</t>
  </si>
  <si>
    <t>00295</t>
  </si>
  <si>
    <t>64 symbols</t>
  </si>
  <si>
    <t>00296</t>
  </si>
  <si>
    <t>4 things that are completely different but at the same time are the same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</si>
  <si>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</si>
  <si>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</si>
  <si>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</si>
  <si>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</si>
  <si>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</si>
  <si>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</si>
  <si>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</si>
  <si>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</si>
  <si>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</si>
  <si>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</si>
  <si>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</si>
  <si>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</si>
  <si>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our paths may cross</t>
  </si>
  <si>
    <t>00309</t>
  </si>
  <si>
    <t>00310</t>
  </si>
  <si>
    <t>00311</t>
  </si>
  <si>
    <t>00312</t>
  </si>
  <si>
    <t>00313</t>
  </si>
  <si>
    <t>00314</t>
  </si>
  <si>
    <t>carbon paper impressions on paper</t>
  </si>
  <si>
    <t>00315</t>
  </si>
  <si>
    <t>00316</t>
  </si>
  <si>
    <t>00317</t>
  </si>
  <si>
    <t>00318</t>
  </si>
  <si>
    <t>grid</t>
  </si>
  <si>
    <t>00319</t>
  </si>
  <si>
    <t>it never ends</t>
  </si>
  <si>
    <t>00320</t>
  </si>
  <si>
    <t>00321</t>
  </si>
  <si>
    <t>ink and pencil on paper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</si>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</sst>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yes&quot;\,&quot;yes&quot;\,&quot;yes&quot;\,&quot;yes&quot;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22"/>
      <color theme="1"/>
      <name val="Aptos Narrow"/>
      <family val="2"/>
      <scheme val="minor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quotePrefix="1" applyFont="1"/>
    <xf numFmtId="14" fontId="3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AED1-6BEA-5040-AE1C-85A2957805DD}">
  <sheetPr>
    <tabColor theme="6" tint="0.39997558519241921"/>
  </sheetPr>
  <dimension ref="A1:E40"/>
  <sheetViews>
    <sheetView zoomScaleNormal="100" workbookViewId="0">
      <selection activeCell="D28" sqref="D28"/>
    </sheetView>
  </sheetViews>
  <sheetFormatPr baseColWidth="10" defaultRowHeight="17" x14ac:dyDescent="0.2"/>
  <cols>
    <col min="1" max="1" width="11.83203125" style="5" customWidth="1"/>
    <col min="2" max="2" width="18.5" style="1" bestFit="1" customWidth="1"/>
    <col min="3" max="3" width="30.6640625" style="1" bestFit="1" customWidth="1"/>
    <col min="4" max="4" width="91" style="1" bestFit="1" customWidth="1"/>
    <col min="5" max="5" width="82.5" style="1" customWidth="1"/>
  </cols>
  <sheetData>
    <row r="1" spans="1:5" ht="29" x14ac:dyDescent="0.35">
      <c r="A1" s="2" t="s">
        <v>29</v>
      </c>
    </row>
    <row r="2" spans="1:5" x14ac:dyDescent="0.2">
      <c r="A2" s="3" t="s">
        <v>27</v>
      </c>
    </row>
    <row r="3" spans="1:5" x14ac:dyDescent="0.2">
      <c r="A3" s="4" t="s">
        <v>30</v>
      </c>
      <c r="B3" s="3" t="s">
        <v>0</v>
      </c>
      <c r="C3" s="3" t="s">
        <v>34</v>
      </c>
      <c r="D3" s="3" t="s">
        <v>1</v>
      </c>
      <c r="E3" s="3" t="s">
        <v>2</v>
      </c>
    </row>
    <row r="4" spans="1:5" x14ac:dyDescent="0.2">
      <c r="A4" s="1" t="b">
        <f>NOT(ISERROR(HLOOKUP(B4,Works!$1:$1,1,FALSE)))</f>
        <v>1</v>
      </c>
      <c r="B4" s="1" t="s">
        <v>3</v>
      </c>
      <c r="D4" s="1" t="s">
        <v>115</v>
      </c>
      <c r="E4" s="1" t="s">
        <v>40</v>
      </c>
    </row>
    <row r="5" spans="1:5" x14ac:dyDescent="0.2">
      <c r="A5" s="1" t="b">
        <f>NOT(ISERROR(HLOOKUP(B5,Works!$1:$1,1,FALSE)))</f>
        <v>1</v>
      </c>
      <c r="B5" s="1" t="s">
        <v>120</v>
      </c>
      <c r="D5" s="1" t="s">
        <v>121</v>
      </c>
      <c r="E5" s="1" t="s">
        <v>89</v>
      </c>
    </row>
    <row r="6" spans="1:5" x14ac:dyDescent="0.2">
      <c r="A6" s="1" t="b">
        <f>NOT(ISERROR(HLOOKUP(B6,Works!$1:$1,1,FALSE)))</f>
        <v>1</v>
      </c>
      <c r="B6" s="1" t="s">
        <v>4</v>
      </c>
      <c r="D6" s="1" t="s">
        <v>38</v>
      </c>
      <c r="E6" s="1" t="s">
        <v>41</v>
      </c>
    </row>
    <row r="7" spans="1:5" x14ac:dyDescent="0.2">
      <c r="A7" s="1" t="b">
        <f>NOT(ISERROR(HLOOKUP(B7,Works!$1:$1,1,FALSE)))</f>
        <v>1</v>
      </c>
      <c r="B7" s="1" t="s">
        <v>5</v>
      </c>
      <c r="D7" s="1" t="s">
        <v>39</v>
      </c>
      <c r="E7" s="1" t="s">
        <v>42</v>
      </c>
    </row>
    <row r="8" spans="1:5" x14ac:dyDescent="0.2">
      <c r="A8" s="1" t="b">
        <f>NOT(ISERROR(HLOOKUP(B8,Works!$1:$1,1,FALSE)))</f>
        <v>1</v>
      </c>
      <c r="B8" s="1" t="s">
        <v>18</v>
      </c>
      <c r="D8" s="1" t="s">
        <v>20</v>
      </c>
      <c r="E8" s="1" t="s">
        <v>19</v>
      </c>
    </row>
    <row r="9" spans="1:5" x14ac:dyDescent="0.2">
      <c r="A9" s="1" t="b">
        <f>NOT(ISERROR(HLOOKUP(B9,Works!$1:$1,1,FALSE)))</f>
        <v>1</v>
      </c>
      <c r="B9" s="1" t="s">
        <v>6</v>
      </c>
      <c r="D9" s="1" t="s">
        <v>43</v>
      </c>
      <c r="E9" s="1" t="s">
        <v>71</v>
      </c>
    </row>
    <row r="10" spans="1:5" x14ac:dyDescent="0.2">
      <c r="A10" s="1" t="b">
        <f>NOT(ISERROR(HLOOKUP(B10,Works!$1:$1,1,FALSE)))</f>
        <v>1</v>
      </c>
      <c r="B10" s="1" t="s">
        <v>76</v>
      </c>
      <c r="C10" s="1" t="s">
        <v>75</v>
      </c>
      <c r="D10" s="1" t="s">
        <v>72</v>
      </c>
      <c r="E10" s="1" t="s">
        <v>74</v>
      </c>
    </row>
    <row r="11" spans="1:5" x14ac:dyDescent="0.2">
      <c r="A11" s="1" t="b">
        <f>NOT(ISERROR(HLOOKUP(B11,Works!$1:$1,1,FALSE)))</f>
        <v>1</v>
      </c>
      <c r="B11" s="1" t="s">
        <v>77</v>
      </c>
      <c r="D11" s="1" t="s">
        <v>59</v>
      </c>
      <c r="E11" s="1" t="s">
        <v>60</v>
      </c>
    </row>
    <row r="12" spans="1:5" x14ac:dyDescent="0.2">
      <c r="A12" s="1" t="b">
        <f>NOT(ISERROR(HLOOKUP(B12,Works!$1:$1,1,FALSE)))</f>
        <v>1</v>
      </c>
      <c r="B12" s="1" t="s">
        <v>24</v>
      </c>
      <c r="D12" s="1" t="s">
        <v>73</v>
      </c>
      <c r="E12" s="1" t="s">
        <v>60</v>
      </c>
    </row>
    <row r="13" spans="1:5" x14ac:dyDescent="0.2">
      <c r="A13" s="1" t="b">
        <f>NOT(ISERROR(HLOOKUP(B13,Works!$1:$1,1,FALSE)))</f>
        <v>1</v>
      </c>
      <c r="B13" s="1" t="s">
        <v>21</v>
      </c>
      <c r="D13" s="1" t="s">
        <v>49</v>
      </c>
      <c r="E13" s="1" t="s">
        <v>33</v>
      </c>
    </row>
    <row r="14" spans="1:5" x14ac:dyDescent="0.2">
      <c r="A14" s="1" t="b">
        <f>NOT(ISERROR(HLOOKUP(B14,Works!$1:$1,1,FALSE)))</f>
        <v>1</v>
      </c>
      <c r="B14" s="1" t="s">
        <v>22</v>
      </c>
      <c r="D14" s="1" t="s">
        <v>50</v>
      </c>
      <c r="E14" s="1" t="s">
        <v>33</v>
      </c>
    </row>
    <row r="15" spans="1:5" x14ac:dyDescent="0.2">
      <c r="A15" s="1" t="b">
        <f>NOT(ISERROR(HLOOKUP(B15,Works!$1:$1,1,FALSE)))</f>
        <v>1</v>
      </c>
      <c r="B15" s="1" t="s">
        <v>23</v>
      </c>
      <c r="D15" s="1" t="s">
        <v>51</v>
      </c>
      <c r="E15" s="1" t="s">
        <v>52</v>
      </c>
    </row>
    <row r="16" spans="1:5" x14ac:dyDescent="0.2">
      <c r="A16" s="1" t="b">
        <f>NOT(ISERROR(HLOOKUP(B16,Works!$1:$1,1,FALSE)))</f>
        <v>1</v>
      </c>
      <c r="B16" s="1" t="s">
        <v>7</v>
      </c>
      <c r="C16" s="1" t="s">
        <v>82</v>
      </c>
      <c r="D16" s="1" t="s">
        <v>44</v>
      </c>
      <c r="E16" s="1" t="s">
        <v>45</v>
      </c>
    </row>
    <row r="17" spans="1:5" x14ac:dyDescent="0.2">
      <c r="A17" s="1" t="b">
        <f>NOT(ISERROR(HLOOKUP(B17,Works!$1:$1,1,FALSE)))</f>
        <v>1</v>
      </c>
      <c r="B17" s="1" t="s">
        <v>35</v>
      </c>
      <c r="D17" s="1" t="s">
        <v>46</v>
      </c>
      <c r="E17" s="1" t="s">
        <v>47</v>
      </c>
    </row>
    <row r="18" spans="1:5" x14ac:dyDescent="0.2">
      <c r="A18" s="1" t="b">
        <f>NOT(ISERROR(HLOOKUP(B18,Works!$1:$1,1,FALSE)))</f>
        <v>1</v>
      </c>
      <c r="B18" s="1" t="s">
        <v>8</v>
      </c>
      <c r="C18" s="1" t="s">
        <v>79</v>
      </c>
      <c r="D18" s="1" t="s">
        <v>36</v>
      </c>
      <c r="E18" s="1" t="s">
        <v>48</v>
      </c>
    </row>
    <row r="19" spans="1:5" x14ac:dyDescent="0.2">
      <c r="A19" s="1" t="b">
        <f>NOT(ISERROR(HLOOKUP(B19,Works!$1:$1,1,FALSE)))</f>
        <v>1</v>
      </c>
      <c r="B19" s="1" t="s">
        <v>56</v>
      </c>
      <c r="C19" s="1" t="s">
        <v>80</v>
      </c>
      <c r="D19" s="1" t="s">
        <v>57</v>
      </c>
      <c r="E19" s="1" t="s">
        <v>58</v>
      </c>
    </row>
    <row r="20" spans="1:5" x14ac:dyDescent="0.2">
      <c r="A20" s="1" t="b">
        <f>NOT(ISERROR(HLOOKUP(B20,Works!$1:$1,1,FALSE)))</f>
        <v>1</v>
      </c>
      <c r="B20" s="1" t="s">
        <v>11</v>
      </c>
      <c r="D20" s="1" t="s">
        <v>12</v>
      </c>
      <c r="E20" s="1" t="s">
        <v>53</v>
      </c>
    </row>
    <row r="21" spans="1:5" x14ac:dyDescent="0.2">
      <c r="A21" s="1" t="b">
        <f>NOT(ISERROR(HLOOKUP(B21,Works!$1:$1,1,FALSE)))</f>
        <v>0</v>
      </c>
      <c r="B21" s="1" t="s">
        <v>13</v>
      </c>
      <c r="D21" s="1" t="s">
        <v>54</v>
      </c>
      <c r="E21" s="1" t="s">
        <v>55</v>
      </c>
    </row>
    <row r="22" spans="1:5" x14ac:dyDescent="0.2">
      <c r="A22" s="1" t="b">
        <f>NOT(ISERROR(HLOOKUP(B22,Works!$1:$1,1,FALSE)))</f>
        <v>1</v>
      </c>
      <c r="B22" s="1" t="s">
        <v>9</v>
      </c>
      <c r="D22" s="1" t="s">
        <v>10</v>
      </c>
      <c r="E22" s="1" t="s">
        <v>37</v>
      </c>
    </row>
    <row r="24" spans="1:5" ht="29" x14ac:dyDescent="0.35">
      <c r="A24" s="2" t="s">
        <v>28</v>
      </c>
    </row>
    <row r="25" spans="1:5" x14ac:dyDescent="0.2">
      <c r="A25" s="3" t="s">
        <v>26</v>
      </c>
    </row>
    <row r="26" spans="1:5" x14ac:dyDescent="0.2">
      <c r="A26" s="1" t="b">
        <f>NOT(ISERROR(HLOOKUP(B26,WorkImages!$1:$1,1,FALSE)))</f>
        <v>1</v>
      </c>
      <c r="B26" s="1" t="s">
        <v>14</v>
      </c>
      <c r="D26" s="1" t="s">
        <v>114</v>
      </c>
      <c r="E26" s="1" t="s">
        <v>100</v>
      </c>
    </row>
    <row r="27" spans="1:5" x14ac:dyDescent="0.2">
      <c r="A27" s="1" t="b">
        <f>NOT(ISERROR(HLOOKUP(B27,WorkImages!$1:$1,1,FALSE)))</f>
        <v>1</v>
      </c>
      <c r="B27" s="1" t="s">
        <v>3</v>
      </c>
      <c r="D27" s="1" t="s">
        <v>122</v>
      </c>
      <c r="E27" s="1" t="s">
        <v>61</v>
      </c>
    </row>
    <row r="28" spans="1:5" x14ac:dyDescent="0.2">
      <c r="A28" s="1" t="b">
        <f>NOT(ISERROR(HLOOKUP(B28,WorkImages!$1:$1,1,FALSE)))</f>
        <v>1</v>
      </c>
      <c r="B28" s="1" t="s">
        <v>15</v>
      </c>
      <c r="C28" s="1" t="s">
        <v>80</v>
      </c>
      <c r="D28" s="1" t="s">
        <v>62</v>
      </c>
      <c r="E28" s="1" t="s">
        <v>63</v>
      </c>
    </row>
    <row r="29" spans="1:5" x14ac:dyDescent="0.2">
      <c r="A29" s="1" t="b">
        <f>NOT(ISERROR(HLOOKUP(B29,WorkImages!$1:$1,1,FALSE)))</f>
        <v>1</v>
      </c>
      <c r="B29" s="1" t="s">
        <v>16</v>
      </c>
      <c r="D29" s="1" t="s">
        <v>116</v>
      </c>
      <c r="E29" s="1" t="s">
        <v>64</v>
      </c>
    </row>
    <row r="30" spans="1:5" x14ac:dyDescent="0.2">
      <c r="A30" s="1" t="b">
        <f>NOT(ISERROR(HLOOKUP(B30,WorkImages!$1:$1,1,FALSE)))</f>
        <v>1</v>
      </c>
      <c r="B30" s="1" t="s">
        <v>17</v>
      </c>
      <c r="D30" s="1" t="s">
        <v>25</v>
      </c>
      <c r="E30" s="1" t="s">
        <v>65</v>
      </c>
    </row>
    <row r="31" spans="1:5" x14ac:dyDescent="0.2">
      <c r="A31" s="1" t="b">
        <f>NOT(ISERROR(HLOOKUP(B31,WorkImages!$1:$1,1,FALSE)))</f>
        <v>1</v>
      </c>
      <c r="B31" s="1" t="s">
        <v>86</v>
      </c>
      <c r="D31" s="1" t="s">
        <v>87</v>
      </c>
      <c r="E31" s="1" t="s">
        <v>88</v>
      </c>
    </row>
    <row r="32" spans="1:5" x14ac:dyDescent="0.2">
      <c r="A32" s="1" t="b">
        <f>NOT(ISERROR(HLOOKUP(B32,WorkImages!$1:$1,1,FALSE)))</f>
        <v>1</v>
      </c>
      <c r="B32" s="1" t="s">
        <v>67</v>
      </c>
      <c r="D32" s="1" t="s">
        <v>70</v>
      </c>
      <c r="E32" s="1" t="s">
        <v>66</v>
      </c>
    </row>
    <row r="33" spans="1:5" x14ac:dyDescent="0.2">
      <c r="A33" s="1" t="b">
        <f>NOT(ISERROR(HLOOKUP(B33,WorkImages!$1:$1,1,FALSE)))</f>
        <v>1</v>
      </c>
      <c r="B33" s="1" t="s">
        <v>9</v>
      </c>
      <c r="D33" s="1" t="s">
        <v>68</v>
      </c>
      <c r="E33" s="1" t="s">
        <v>69</v>
      </c>
    </row>
    <row r="35" spans="1:5" ht="29" x14ac:dyDescent="0.35">
      <c r="A35" s="2" t="s">
        <v>107</v>
      </c>
    </row>
    <row r="36" spans="1:5" x14ac:dyDescent="0.2">
      <c r="A36" s="3" t="s">
        <v>108</v>
      </c>
    </row>
    <row r="37" spans="1:5" x14ac:dyDescent="0.2">
      <c r="A37" s="1" t="b">
        <f>NOT(ISERROR(HLOOKUP(B37,WorkAttachments!$1:$1,1,FALSE)))</f>
        <v>1</v>
      </c>
      <c r="B37" s="1" t="s">
        <v>111</v>
      </c>
      <c r="D37" s="1" t="s">
        <v>113</v>
      </c>
    </row>
    <row r="38" spans="1:5" x14ac:dyDescent="0.2">
      <c r="A38" s="1" t="b">
        <f>NOT(ISERROR(HLOOKUP(B38,WorkAttachments!$1:$1,1,FALSE)))</f>
        <v>1</v>
      </c>
      <c r="B38" s="1" t="s">
        <v>3</v>
      </c>
      <c r="D38" s="1" t="s">
        <v>122</v>
      </c>
    </row>
    <row r="39" spans="1:5" x14ac:dyDescent="0.2">
      <c r="A39" s="1" t="b">
        <f>NOT(ISERROR(HLOOKUP(B39,WorkAttachments!$1:$1,1,FALSE)))</f>
        <v>1</v>
      </c>
      <c r="B39" s="1" t="s">
        <v>16</v>
      </c>
      <c r="D39" s="1" t="s">
        <v>117</v>
      </c>
      <c r="E39" s="1" t="s">
        <v>112</v>
      </c>
    </row>
    <row r="40" spans="1:5" x14ac:dyDescent="0.2">
      <c r="A40" s="1" t="b">
        <f>NOT(ISERROR(HLOOKUP(B40,WorkAttachments!$1:$1,1,FALSE)))</f>
        <v>1</v>
      </c>
      <c r="B40" s="1" t="s">
        <v>105</v>
      </c>
      <c r="D40" s="1" t="s">
        <v>109</v>
      </c>
      <c r="E40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D3C4-93E9-0943-8732-0CF384DB2AB6}">
  <dimension ref="A1:R56"/>
  <sheetViews>
    <sheetView tabSelected="1" zoomScaleNormal="100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C52" sqref="C52"/>
    </sheetView>
  </sheetViews>
  <sheetFormatPr baseColWidth="10" defaultRowHeight="17" x14ac:dyDescent="0.2"/>
  <cols>
    <col min="1" max="1" width="20.83203125" style="1" customWidth="1"/>
    <col min="2" max="2" width="26.83203125" style="1" customWidth="1"/>
    <col min="3" max="3" width="25.33203125" style="1" customWidth="1"/>
    <col min="4" max="4" width="10.83203125" style="1" customWidth="1"/>
    <col min="5" max="5" width="16.6640625" style="1" customWidth="1"/>
    <col min="6" max="7" width="20.83203125" style="1" customWidth="1"/>
    <col min="8" max="8" width="29.5" style="1" bestFit="1" customWidth="1"/>
    <col min="9" max="9" width="10.83203125" style="1"/>
    <col min="10" max="14" width="20.83203125" style="1" customWidth="1"/>
    <col min="15" max="15" width="20.83203125" style="8" customWidth="1"/>
    <col min="16" max="18" width="20.83203125" style="1" customWidth="1"/>
    <col min="19" max="16384" width="10.83203125" style="1"/>
  </cols>
  <sheetData>
    <row r="1" spans="1:18" s="3" customFormat="1" x14ac:dyDescent="0.2">
      <c r="A1" s="3" t="s">
        <v>3</v>
      </c>
      <c r="B1" s="3" t="s">
        <v>120</v>
      </c>
      <c r="C1" s="3" t="s">
        <v>4</v>
      </c>
      <c r="D1" s="3" t="s">
        <v>5</v>
      </c>
      <c r="E1" s="3" t="s">
        <v>18</v>
      </c>
      <c r="F1" s="3" t="s">
        <v>6</v>
      </c>
      <c r="G1" s="3" t="s">
        <v>76</v>
      </c>
      <c r="H1" s="3" t="s">
        <v>77</v>
      </c>
      <c r="I1" s="3" t="s">
        <v>24</v>
      </c>
      <c r="J1" s="3" t="s">
        <v>8</v>
      </c>
      <c r="K1" s="3" t="s">
        <v>21</v>
      </c>
      <c r="L1" s="3" t="s">
        <v>22</v>
      </c>
      <c r="M1" s="3" t="s">
        <v>23</v>
      </c>
      <c r="N1" s="3" t="s">
        <v>7</v>
      </c>
      <c r="O1" s="7" t="s">
        <v>35</v>
      </c>
      <c r="P1" s="3" t="s">
        <v>56</v>
      </c>
      <c r="Q1" s="3" t="s">
        <v>11</v>
      </c>
      <c r="R1" s="3" t="s">
        <v>9</v>
      </c>
    </row>
    <row r="2" spans="1:18" x14ac:dyDescent="0.2">
      <c r="A2" s="6" t="s">
        <v>83</v>
      </c>
      <c r="B2" s="6" t="s">
        <v>90</v>
      </c>
      <c r="C2" s="1" t="s">
        <v>84</v>
      </c>
      <c r="D2" s="1">
        <v>2024</v>
      </c>
      <c r="E2" s="1">
        <v>2024</v>
      </c>
      <c r="F2" s="1" t="s">
        <v>85</v>
      </c>
      <c r="G2" s="1" t="s">
        <v>91</v>
      </c>
      <c r="H2" s="1" t="s">
        <v>130</v>
      </c>
      <c r="J2" s="1" t="s">
        <v>93</v>
      </c>
      <c r="K2" s="1">
        <v>42</v>
      </c>
      <c r="L2" s="1">
        <v>29.7</v>
      </c>
      <c r="N2" s="1" t="s">
        <v>97</v>
      </c>
      <c r="O2" s="8">
        <v>46046</v>
      </c>
      <c r="P2" s="1" t="s">
        <v>94</v>
      </c>
    </row>
    <row r="3" spans="1:18" x14ac:dyDescent="0.2">
      <c r="A3" s="6" t="s">
        <v>95</v>
      </c>
      <c r="B3" s="6" t="s">
        <v>90</v>
      </c>
      <c r="C3" s="1" t="s">
        <v>119</v>
      </c>
      <c r="D3" s="1">
        <v>2024</v>
      </c>
      <c r="E3" s="1">
        <v>2024</v>
      </c>
      <c r="F3" s="1" t="s">
        <v>85</v>
      </c>
      <c r="G3" s="1" t="s">
        <v>91</v>
      </c>
      <c r="H3" s="1" t="s">
        <v>118</v>
      </c>
      <c r="J3" s="1" t="s">
        <v>96</v>
      </c>
      <c r="K3" s="1">
        <v>29.7</v>
      </c>
      <c r="L3" s="1">
        <v>42</v>
      </c>
      <c r="N3" s="1" t="s">
        <v>97</v>
      </c>
      <c r="O3" s="8">
        <v>46046</v>
      </c>
      <c r="P3" s="1" t="s">
        <v>94</v>
      </c>
    </row>
    <row r="4" spans="1:18" x14ac:dyDescent="0.2">
      <c r="A4" s="6" t="s">
        <v>123</v>
      </c>
      <c r="B4" s="6" t="s">
        <v>90</v>
      </c>
      <c r="C4" s="1" t="s">
        <v>84</v>
      </c>
      <c r="D4" s="1">
        <v>2024</v>
      </c>
      <c r="E4" s="1">
        <v>2024</v>
      </c>
      <c r="F4" s="1" t="s">
        <v>85</v>
      </c>
      <c r="G4" s="1" t="s">
        <v>91</v>
      </c>
      <c r="H4" s="1" t="s">
        <v>92</v>
      </c>
      <c r="J4" s="1" t="s">
        <v>93</v>
      </c>
      <c r="K4" s="1">
        <v>42</v>
      </c>
      <c r="L4" s="1">
        <v>29.7</v>
      </c>
      <c r="N4" s="1" t="s">
        <v>97</v>
      </c>
      <c r="O4" s="8">
        <v>46046</v>
      </c>
      <c r="P4" s="1" t="s">
        <v>94</v>
      </c>
    </row>
    <row r="5" spans="1:18" x14ac:dyDescent="0.2">
      <c r="A5" s="6" t="s">
        <v>125</v>
      </c>
      <c r="B5" s="6" t="s">
        <v>90</v>
      </c>
      <c r="C5" s="1" t="s">
        <v>84</v>
      </c>
      <c r="D5" s="1">
        <v>2024</v>
      </c>
      <c r="E5" s="1">
        <v>2024</v>
      </c>
      <c r="F5" s="1" t="s">
        <v>85</v>
      </c>
      <c r="G5" s="1" t="s">
        <v>91</v>
      </c>
      <c r="H5" s="1" t="s">
        <v>92</v>
      </c>
      <c r="J5" s="1" t="s">
        <v>93</v>
      </c>
      <c r="K5" s="1">
        <v>42</v>
      </c>
      <c r="L5" s="1">
        <v>29.7</v>
      </c>
      <c r="N5" s="1" t="s">
        <v>97</v>
      </c>
      <c r="O5" s="8">
        <v>46046</v>
      </c>
      <c r="P5" s="1" t="s">
        <v>94</v>
      </c>
    </row>
    <row r="6" spans="1:18" x14ac:dyDescent="0.2">
      <c r="A6" s="6" t="s">
        <v>124</v>
      </c>
      <c r="B6" s="6" t="s">
        <v>90</v>
      </c>
      <c r="C6" s="1" t="s">
        <v>84</v>
      </c>
      <c r="D6" s="1">
        <v>2024</v>
      </c>
      <c r="E6" s="1">
        <v>2024</v>
      </c>
      <c r="F6" s="1" t="s">
        <v>85</v>
      </c>
      <c r="G6" s="1" t="s">
        <v>91</v>
      </c>
      <c r="H6" s="1" t="s">
        <v>130</v>
      </c>
      <c r="J6" s="1" t="s">
        <v>93</v>
      </c>
      <c r="K6" s="1">
        <v>42</v>
      </c>
      <c r="L6" s="1">
        <v>29.7</v>
      </c>
      <c r="N6" s="1" t="s">
        <v>97</v>
      </c>
      <c r="O6" s="8">
        <v>46046</v>
      </c>
      <c r="P6" s="1" t="s">
        <v>94</v>
      </c>
    </row>
    <row r="7" spans="1:18" x14ac:dyDescent="0.2">
      <c r="A7" s="6" t="s">
        <v>127</v>
      </c>
      <c r="B7" s="6" t="s">
        <v>90</v>
      </c>
      <c r="C7" s="1" t="s">
        <v>84</v>
      </c>
      <c r="D7" s="1">
        <v>2024</v>
      </c>
      <c r="E7" s="1">
        <v>2024</v>
      </c>
      <c r="F7" s="1" t="s">
        <v>85</v>
      </c>
      <c r="G7" s="1" t="s">
        <v>91</v>
      </c>
      <c r="H7" s="1" t="s">
        <v>92</v>
      </c>
      <c r="J7" s="1" t="s">
        <v>93</v>
      </c>
      <c r="K7" s="1">
        <v>42</v>
      </c>
      <c r="L7" s="1">
        <v>29.7</v>
      </c>
      <c r="N7" s="1" t="s">
        <v>97</v>
      </c>
      <c r="O7" s="8">
        <v>46046</v>
      </c>
      <c r="P7" s="1" t="s">
        <v>94</v>
      </c>
    </row>
    <row r="8" spans="1:18" x14ac:dyDescent="0.2">
      <c r="A8" s="6" t="s">
        <v>128</v>
      </c>
      <c r="B8" s="6" t="s">
        <v>90</v>
      </c>
      <c r="C8" s="1" t="s">
        <v>84</v>
      </c>
      <c r="D8" s="1">
        <v>2024</v>
      </c>
      <c r="E8" s="1">
        <v>2024</v>
      </c>
      <c r="F8" s="1" t="s">
        <v>85</v>
      </c>
      <c r="G8" s="1" t="s">
        <v>91</v>
      </c>
      <c r="H8" s="1" t="s">
        <v>92</v>
      </c>
      <c r="J8" s="1" t="s">
        <v>93</v>
      </c>
      <c r="K8" s="1">
        <v>42</v>
      </c>
      <c r="L8" s="1">
        <v>29.7</v>
      </c>
      <c r="N8" s="1" t="s">
        <v>97</v>
      </c>
      <c r="O8" s="8">
        <v>46046</v>
      </c>
      <c r="P8" s="1" t="s">
        <v>94</v>
      </c>
    </row>
    <row r="9" spans="1:18" x14ac:dyDescent="0.2">
      <c r="A9" s="6" t="s">
        <v>129</v>
      </c>
      <c r="B9" s="6" t="s">
        <v>90</v>
      </c>
      <c r="C9" s="1" t="s">
        <v>84</v>
      </c>
      <c r="D9" s="1">
        <v>2024</v>
      </c>
      <c r="E9" s="1">
        <v>2024</v>
      </c>
      <c r="F9" s="1" t="s">
        <v>85</v>
      </c>
      <c r="G9" s="1" t="s">
        <v>91</v>
      </c>
      <c r="H9" s="1" t="s">
        <v>131</v>
      </c>
      <c r="J9" s="1" t="s">
        <v>93</v>
      </c>
      <c r="K9" s="1">
        <v>42</v>
      </c>
      <c r="L9" s="1">
        <v>29.7</v>
      </c>
      <c r="N9" s="1" t="s">
        <v>97</v>
      </c>
      <c r="O9" s="8">
        <v>46046</v>
      </c>
      <c r="P9" s="1" t="s">
        <v>94</v>
      </c>
    </row>
    <row r="10" spans="1:18" x14ac:dyDescent="0.2">
      <c r="A10" s="6" t="s">
        <v>132</v>
      </c>
      <c r="B10" s="6" t="s">
        <v>90</v>
      </c>
      <c r="C10" s="1" t="s">
        <v>84</v>
      </c>
      <c r="D10" s="1">
        <v>2024</v>
      </c>
      <c r="E10" s="1">
        <v>2024</v>
      </c>
      <c r="F10" s="1" t="s">
        <v>85</v>
      </c>
      <c r="G10" s="1" t="s">
        <v>91</v>
      </c>
      <c r="H10" s="1" t="s">
        <v>133</v>
      </c>
      <c r="J10" s="1" t="s">
        <v>93</v>
      </c>
      <c r="K10" s="1">
        <v>42</v>
      </c>
      <c r="L10" s="1">
        <v>29.7</v>
      </c>
      <c r="N10" s="1" t="s">
        <v>97</v>
      </c>
      <c r="O10" s="8">
        <v>46046</v>
      </c>
      <c r="P10" s="1" t="s">
        <v>94</v>
      </c>
    </row>
    <row r="11" spans="1:18" x14ac:dyDescent="0.2">
      <c r="A11" s="6" t="s">
        <v>134</v>
      </c>
      <c r="B11" s="6" t="s">
        <v>90</v>
      </c>
      <c r="C11" s="1" t="s">
        <v>84</v>
      </c>
      <c r="D11" s="1">
        <v>2024</v>
      </c>
      <c r="E11" s="1">
        <v>2024</v>
      </c>
      <c r="F11" s="1" t="s">
        <v>85</v>
      </c>
      <c r="G11" s="1" t="s">
        <v>91</v>
      </c>
      <c r="H11" s="1" t="s">
        <v>133</v>
      </c>
      <c r="J11" s="1" t="s">
        <v>93</v>
      </c>
      <c r="K11" s="1">
        <v>42</v>
      </c>
      <c r="L11" s="1">
        <v>29.7</v>
      </c>
      <c r="N11" s="1" t="s">
        <v>97</v>
      </c>
      <c r="O11" s="8">
        <v>46046</v>
      </c>
      <c r="P11" s="1" t="s">
        <v>94</v>
      </c>
    </row>
    <row r="12" spans="1:18" x14ac:dyDescent="0.2">
      <c r="A12" s="6" t="s">
        <v>135</v>
      </c>
      <c r="B12" s="6" t="s">
        <v>90</v>
      </c>
      <c r="C12" s="1" t="s">
        <v>136</v>
      </c>
      <c r="D12" s="1">
        <v>2024</v>
      </c>
      <c r="E12" s="1">
        <v>2024</v>
      </c>
      <c r="F12" s="1" t="s">
        <v>85</v>
      </c>
      <c r="G12" s="1" t="s">
        <v>91</v>
      </c>
      <c r="H12" s="1" t="s">
        <v>130</v>
      </c>
      <c r="J12" s="1" t="s">
        <v>93</v>
      </c>
      <c r="K12" s="1">
        <v>42</v>
      </c>
      <c r="L12" s="1">
        <v>29.7</v>
      </c>
      <c r="N12" s="1" t="s">
        <v>97</v>
      </c>
      <c r="O12" s="8">
        <v>46046</v>
      </c>
      <c r="P12" s="1" t="s">
        <v>94</v>
      </c>
    </row>
    <row r="13" spans="1:18" x14ac:dyDescent="0.2">
      <c r="A13" s="6" t="s">
        <v>137</v>
      </c>
      <c r="B13" s="6" t="s">
        <v>90</v>
      </c>
      <c r="C13" s="1" t="s">
        <v>138</v>
      </c>
      <c r="D13" s="1">
        <v>2024</v>
      </c>
      <c r="E13" s="1">
        <v>2024</v>
      </c>
      <c r="F13" s="1" t="s">
        <v>85</v>
      </c>
      <c r="G13" s="1" t="s">
        <v>91</v>
      </c>
      <c r="H13" s="1" t="s">
        <v>133</v>
      </c>
      <c r="J13" s="1" t="s">
        <v>93</v>
      </c>
      <c r="K13" s="1">
        <v>42</v>
      </c>
      <c r="L13" s="1">
        <v>29.7</v>
      </c>
      <c r="N13" s="1" t="s">
        <v>97</v>
      </c>
      <c r="O13" s="8">
        <v>46046</v>
      </c>
      <c r="P13" s="1" t="s">
        <v>94</v>
      </c>
    </row>
    <row r="14" spans="1:18" x14ac:dyDescent="0.2">
      <c r="A14" s="6" t="s">
        <v>139</v>
      </c>
      <c r="B14" s="6" t="s">
        <v>90</v>
      </c>
      <c r="C14" s="1" t="s">
        <v>84</v>
      </c>
      <c r="D14" s="1">
        <v>2024</v>
      </c>
      <c r="E14" s="1">
        <v>2024</v>
      </c>
      <c r="F14" s="1" t="s">
        <v>85</v>
      </c>
      <c r="G14" s="1" t="s">
        <v>91</v>
      </c>
      <c r="H14" s="1" t="s">
        <v>133</v>
      </c>
      <c r="J14" s="1" t="s">
        <v>93</v>
      </c>
      <c r="K14" s="1">
        <v>42</v>
      </c>
      <c r="L14" s="1">
        <v>29.7</v>
      </c>
      <c r="N14" s="1" t="s">
        <v>97</v>
      </c>
      <c r="O14" s="8">
        <v>46046</v>
      </c>
      <c r="P14" s="1" t="s">
        <v>94</v>
      </c>
    </row>
    <row r="15" spans="1:18" x14ac:dyDescent="0.2">
      <c r="A15" s="6" t="s">
        <v>140</v>
      </c>
      <c r="B15" s="6" t="s">
        <v>90</v>
      </c>
      <c r="C15" s="1" t="s">
        <v>84</v>
      </c>
      <c r="D15" s="1">
        <v>2024</v>
      </c>
      <c r="E15" s="1">
        <v>2024</v>
      </c>
      <c r="F15" s="1" t="s">
        <v>85</v>
      </c>
      <c r="G15" s="1" t="s">
        <v>91</v>
      </c>
      <c r="H15" s="1" t="s">
        <v>133</v>
      </c>
      <c r="J15" s="1" t="s">
        <v>93</v>
      </c>
      <c r="K15" s="1">
        <v>42</v>
      </c>
      <c r="L15" s="1">
        <v>29.7</v>
      </c>
      <c r="N15" s="1" t="s">
        <v>97</v>
      </c>
      <c r="O15" s="8">
        <v>46046</v>
      </c>
      <c r="P15" s="1" t="s">
        <v>94</v>
      </c>
    </row>
    <row r="16" spans="1:18" x14ac:dyDescent="0.2">
      <c r="A16" s="6" t="s">
        <v>141</v>
      </c>
      <c r="B16" s="6" t="s">
        <v>90</v>
      </c>
      <c r="C16" s="1" t="s">
        <v>84</v>
      </c>
      <c r="D16" s="1">
        <v>2024</v>
      </c>
      <c r="E16" s="1">
        <v>2024</v>
      </c>
      <c r="F16" s="1" t="s">
        <v>85</v>
      </c>
      <c r="G16" s="1" t="s">
        <v>91</v>
      </c>
      <c r="H16" s="1" t="s">
        <v>133</v>
      </c>
      <c r="J16" s="1" t="s">
        <v>93</v>
      </c>
      <c r="K16" s="1">
        <v>42</v>
      </c>
      <c r="L16" s="1">
        <v>29.7</v>
      </c>
      <c r="N16" s="1" t="s">
        <v>97</v>
      </c>
      <c r="O16" s="8">
        <v>46046</v>
      </c>
      <c r="P16" s="1" t="s">
        <v>94</v>
      </c>
    </row>
    <row r="17" spans="1:16" x14ac:dyDescent="0.2">
      <c r="A17" s="6" t="s">
        <v>142</v>
      </c>
      <c r="B17" s="6" t="s">
        <v>90</v>
      </c>
      <c r="C17" s="1" t="s">
        <v>84</v>
      </c>
      <c r="D17" s="1">
        <v>2024</v>
      </c>
      <c r="E17" s="1">
        <v>2024</v>
      </c>
      <c r="F17" s="1" t="s">
        <v>85</v>
      </c>
      <c r="G17" s="1" t="s">
        <v>91</v>
      </c>
      <c r="H17" s="1" t="s">
        <v>133</v>
      </c>
      <c r="J17" s="1" t="s">
        <v>93</v>
      </c>
      <c r="K17" s="1">
        <v>42</v>
      </c>
      <c r="L17" s="1">
        <v>29.7</v>
      </c>
      <c r="N17" s="1" t="s">
        <v>97</v>
      </c>
      <c r="O17" s="8">
        <v>46046</v>
      </c>
      <c r="P17" s="1" t="s">
        <v>94</v>
      </c>
    </row>
    <row r="18" spans="1:16" x14ac:dyDescent="0.2">
      <c r="A18" s="6" t="s">
        <v>143</v>
      </c>
      <c r="B18" s="6" t="s">
        <v>90</v>
      </c>
      <c r="C18" s="1" t="s">
        <v>84</v>
      </c>
      <c r="D18" s="1">
        <v>2024</v>
      </c>
      <c r="E18" s="1">
        <v>2024</v>
      </c>
      <c r="F18" s="1" t="s">
        <v>85</v>
      </c>
      <c r="G18" s="1" t="s">
        <v>91</v>
      </c>
      <c r="H18" s="1" t="s">
        <v>133</v>
      </c>
      <c r="J18" s="1" t="s">
        <v>93</v>
      </c>
      <c r="K18" s="1">
        <v>42</v>
      </c>
      <c r="L18" s="1">
        <v>29.7</v>
      </c>
      <c r="N18" s="1" t="s">
        <v>97</v>
      </c>
      <c r="O18" s="8">
        <v>46046</v>
      </c>
      <c r="P18" s="1" t="s">
        <v>94</v>
      </c>
    </row>
    <row r="19" spans="1:16" x14ac:dyDescent="0.2">
      <c r="A19" s="6" t="s">
        <v>144</v>
      </c>
      <c r="B19" s="6" t="s">
        <v>90</v>
      </c>
      <c r="C19" s="1" t="s">
        <v>84</v>
      </c>
      <c r="D19" s="1">
        <v>2024</v>
      </c>
      <c r="E19" s="1">
        <v>2024</v>
      </c>
      <c r="F19" s="1" t="s">
        <v>85</v>
      </c>
      <c r="G19" s="1" t="s">
        <v>91</v>
      </c>
      <c r="H19" s="1" t="s">
        <v>92</v>
      </c>
      <c r="J19" s="1" t="s">
        <v>93</v>
      </c>
      <c r="K19" s="1">
        <v>42</v>
      </c>
      <c r="L19" s="1">
        <v>29.7</v>
      </c>
      <c r="N19" s="1" t="s">
        <v>97</v>
      </c>
      <c r="O19" s="8">
        <v>46046</v>
      </c>
      <c r="P19" s="1" t="s">
        <v>94</v>
      </c>
    </row>
    <row r="20" spans="1:16" x14ac:dyDescent="0.2">
      <c r="A20" s="6" t="s">
        <v>145</v>
      </c>
      <c r="B20" s="6" t="s">
        <v>90</v>
      </c>
      <c r="C20" s="1" t="s">
        <v>84</v>
      </c>
      <c r="D20" s="1">
        <v>2024</v>
      </c>
      <c r="E20" s="1">
        <v>2024</v>
      </c>
      <c r="F20" s="1" t="s">
        <v>85</v>
      </c>
      <c r="G20" s="1" t="s">
        <v>91</v>
      </c>
      <c r="H20" s="1" t="s">
        <v>92</v>
      </c>
      <c r="J20" s="1" t="s">
        <v>93</v>
      </c>
      <c r="K20" s="1">
        <v>42</v>
      </c>
      <c r="L20" s="1">
        <v>29.7</v>
      </c>
      <c r="N20" s="1" t="s">
        <v>97</v>
      </c>
      <c r="O20" s="8">
        <v>46046</v>
      </c>
      <c r="P20" s="1" t="s">
        <v>94</v>
      </c>
    </row>
    <row r="21" spans="1:16" x14ac:dyDescent="0.2">
      <c r="A21" s="6" t="s">
        <v>146</v>
      </c>
      <c r="B21" s="6" t="s">
        <v>90</v>
      </c>
      <c r="C21" s="1" t="s">
        <v>84</v>
      </c>
      <c r="D21" s="1">
        <v>2024</v>
      </c>
      <c r="E21" s="1">
        <v>2024</v>
      </c>
      <c r="F21" s="1" t="s">
        <v>85</v>
      </c>
      <c r="G21" s="1" t="s">
        <v>91</v>
      </c>
      <c r="H21" s="1" t="s">
        <v>92</v>
      </c>
      <c r="J21" s="1" t="s">
        <v>93</v>
      </c>
      <c r="K21" s="1">
        <v>42</v>
      </c>
      <c r="L21" s="1">
        <v>29.7</v>
      </c>
      <c r="N21" s="1" t="s">
        <v>97</v>
      </c>
      <c r="O21" s="8">
        <v>46046</v>
      </c>
      <c r="P21" s="1" t="s">
        <v>94</v>
      </c>
    </row>
    <row r="22" spans="1:16" x14ac:dyDescent="0.2">
      <c r="A22" s="6" t="s">
        <v>147</v>
      </c>
      <c r="B22" s="6" t="s">
        <v>90</v>
      </c>
      <c r="C22" s="1" t="s">
        <v>84</v>
      </c>
      <c r="D22" s="1">
        <v>2024</v>
      </c>
      <c r="E22" s="1">
        <v>2024</v>
      </c>
      <c r="F22" s="1" t="s">
        <v>85</v>
      </c>
      <c r="G22" s="1" t="s">
        <v>91</v>
      </c>
      <c r="H22" s="1" t="s">
        <v>92</v>
      </c>
      <c r="J22" s="1" t="s">
        <v>93</v>
      </c>
      <c r="K22" s="1">
        <v>42</v>
      </c>
      <c r="L22" s="1">
        <v>29.7</v>
      </c>
      <c r="N22" s="1" t="s">
        <v>97</v>
      </c>
      <c r="O22" s="8">
        <v>46046</v>
      </c>
      <c r="P22" s="1" t="s">
        <v>94</v>
      </c>
    </row>
    <row r="23" spans="1:16" x14ac:dyDescent="0.2">
      <c r="A23" s="6" t="s">
        <v>148</v>
      </c>
      <c r="B23" s="6" t="s">
        <v>90</v>
      </c>
      <c r="C23" s="1" t="s">
        <v>84</v>
      </c>
      <c r="D23" s="1">
        <v>2024</v>
      </c>
      <c r="E23" s="1">
        <v>2024</v>
      </c>
      <c r="F23" s="1" t="s">
        <v>85</v>
      </c>
      <c r="G23" s="1" t="s">
        <v>91</v>
      </c>
      <c r="H23" s="1" t="s">
        <v>133</v>
      </c>
      <c r="J23" s="1" t="s">
        <v>93</v>
      </c>
      <c r="K23" s="1">
        <v>42</v>
      </c>
      <c r="L23" s="1">
        <v>29.7</v>
      </c>
      <c r="N23" s="1" t="s">
        <v>97</v>
      </c>
      <c r="O23" s="8">
        <v>46046</v>
      </c>
      <c r="P23" s="1" t="s">
        <v>94</v>
      </c>
    </row>
    <row r="24" spans="1:16" x14ac:dyDescent="0.2">
      <c r="A24" s="6" t="s">
        <v>149</v>
      </c>
      <c r="B24" s="6" t="s">
        <v>90</v>
      </c>
      <c r="C24" s="1" t="s">
        <v>84</v>
      </c>
      <c r="D24" s="1">
        <v>2024</v>
      </c>
      <c r="E24" s="1">
        <v>2024</v>
      </c>
      <c r="F24" s="1" t="s">
        <v>85</v>
      </c>
      <c r="G24" s="1" t="s">
        <v>91</v>
      </c>
      <c r="H24" s="1" t="s">
        <v>130</v>
      </c>
      <c r="J24" s="1" t="s">
        <v>93</v>
      </c>
      <c r="K24" s="1">
        <v>42</v>
      </c>
      <c r="L24" s="1">
        <v>29.7</v>
      </c>
      <c r="N24" s="1" t="s">
        <v>97</v>
      </c>
      <c r="O24" s="8">
        <v>46046</v>
      </c>
      <c r="P24" s="1" t="s">
        <v>94</v>
      </c>
    </row>
    <row r="25" spans="1:16" x14ac:dyDescent="0.2">
      <c r="A25" s="6" t="s">
        <v>150</v>
      </c>
      <c r="B25" s="6" t="s">
        <v>90</v>
      </c>
      <c r="C25" s="1" t="s">
        <v>151</v>
      </c>
      <c r="D25" s="1">
        <v>2024</v>
      </c>
      <c r="E25" s="1">
        <v>2024</v>
      </c>
      <c r="F25" s="1" t="s">
        <v>85</v>
      </c>
      <c r="G25" s="1" t="s">
        <v>91</v>
      </c>
      <c r="H25" s="1" t="s">
        <v>92</v>
      </c>
      <c r="J25" s="1" t="s">
        <v>93</v>
      </c>
      <c r="K25" s="1">
        <v>42</v>
      </c>
      <c r="L25" s="1">
        <v>29.7</v>
      </c>
      <c r="N25" s="1" t="s">
        <v>97</v>
      </c>
      <c r="O25" s="8">
        <v>46046</v>
      </c>
      <c r="P25" s="1" t="s">
        <v>94</v>
      </c>
    </row>
    <row r="26" spans="1:16" x14ac:dyDescent="0.2">
      <c r="A26" s="6" t="s">
        <v>152</v>
      </c>
      <c r="B26" s="6" t="s">
        <v>90</v>
      </c>
      <c r="C26" s="1" t="s">
        <v>84</v>
      </c>
      <c r="D26" s="1">
        <v>2024</v>
      </c>
      <c r="E26" s="1">
        <v>2024</v>
      </c>
      <c r="F26" s="1" t="s">
        <v>85</v>
      </c>
      <c r="G26" s="1" t="s">
        <v>91</v>
      </c>
      <c r="H26" s="1" t="s">
        <v>92</v>
      </c>
      <c r="J26" s="1" t="s">
        <v>93</v>
      </c>
      <c r="K26" s="1">
        <v>42</v>
      </c>
      <c r="L26" s="1">
        <v>29.7</v>
      </c>
      <c r="N26" s="1" t="s">
        <v>97</v>
      </c>
      <c r="O26" s="8">
        <v>46046</v>
      </c>
      <c r="P26" s="1" t="s">
        <v>94</v>
      </c>
    </row>
    <row r="27" spans="1:16" x14ac:dyDescent="0.2">
      <c r="A27" s="6" t="s">
        <v>153</v>
      </c>
      <c r="B27" s="6" t="s">
        <v>90</v>
      </c>
      <c r="C27" s="1" t="s">
        <v>84</v>
      </c>
      <c r="D27" s="1">
        <v>2024</v>
      </c>
      <c r="E27" s="1">
        <v>2024</v>
      </c>
      <c r="F27" s="1" t="s">
        <v>85</v>
      </c>
      <c r="G27" s="1" t="s">
        <v>91</v>
      </c>
      <c r="H27" s="1" t="s">
        <v>133</v>
      </c>
      <c r="J27" s="1" t="s">
        <v>93</v>
      </c>
      <c r="K27" s="1">
        <v>42</v>
      </c>
      <c r="L27" s="1">
        <v>29.7</v>
      </c>
      <c r="N27" s="1" t="s">
        <v>97</v>
      </c>
      <c r="O27" s="8">
        <v>46046</v>
      </c>
      <c r="P27" s="1" t="s">
        <v>94</v>
      </c>
    </row>
    <row r="28" spans="1:16" x14ac:dyDescent="0.2">
      <c r="A28" s="6" t="s">
        <v>154</v>
      </c>
      <c r="B28" s="6" t="s">
        <v>90</v>
      </c>
      <c r="C28" s="1" t="s">
        <v>84</v>
      </c>
      <c r="D28" s="1">
        <v>2024</v>
      </c>
      <c r="E28" s="1">
        <v>2024</v>
      </c>
      <c r="F28" s="1" t="s">
        <v>85</v>
      </c>
      <c r="G28" s="1" t="s">
        <v>91</v>
      </c>
      <c r="H28" s="1" t="s">
        <v>92</v>
      </c>
      <c r="J28" s="1" t="s">
        <v>93</v>
      </c>
      <c r="K28" s="1">
        <v>42</v>
      </c>
      <c r="L28" s="1">
        <v>29.7</v>
      </c>
      <c r="N28" s="1" t="s">
        <v>97</v>
      </c>
      <c r="O28" s="8">
        <v>46046</v>
      </c>
      <c r="P28" s="1" t="s">
        <v>94</v>
      </c>
    </row>
    <row r="29" spans="1:16" x14ac:dyDescent="0.2">
      <c r="A29" s="6" t="s">
        <v>155</v>
      </c>
      <c r="B29" s="6" t="s">
        <v>90</v>
      </c>
      <c r="C29" s="1" t="s">
        <v>84</v>
      </c>
      <c r="D29" s="1">
        <v>2024</v>
      </c>
      <c r="E29" s="1">
        <v>2024</v>
      </c>
      <c r="F29" s="1" t="s">
        <v>85</v>
      </c>
      <c r="G29" s="1" t="s">
        <v>91</v>
      </c>
      <c r="H29" s="1" t="s">
        <v>133</v>
      </c>
      <c r="J29" s="1" t="s">
        <v>93</v>
      </c>
      <c r="K29" s="1">
        <v>42</v>
      </c>
      <c r="L29" s="1">
        <v>29.7</v>
      </c>
      <c r="N29" s="1" t="s">
        <v>97</v>
      </c>
      <c r="O29" s="8">
        <v>46046</v>
      </c>
      <c r="P29" s="1" t="s">
        <v>94</v>
      </c>
    </row>
    <row r="30" spans="1:16" x14ac:dyDescent="0.2">
      <c r="A30" s="6" t="s">
        <v>156</v>
      </c>
      <c r="B30" s="6" t="s">
        <v>90</v>
      </c>
      <c r="C30" s="1" t="s">
        <v>84</v>
      </c>
      <c r="D30" s="1">
        <v>2024</v>
      </c>
      <c r="E30" s="1">
        <v>2024</v>
      </c>
      <c r="F30" s="1" t="s">
        <v>85</v>
      </c>
      <c r="G30" s="1" t="s">
        <v>91</v>
      </c>
      <c r="H30" s="1" t="s">
        <v>92</v>
      </c>
      <c r="J30" s="1" t="s">
        <v>93</v>
      </c>
      <c r="K30" s="1">
        <v>42</v>
      </c>
      <c r="L30" s="1">
        <v>29.7</v>
      </c>
      <c r="N30" s="1" t="s">
        <v>97</v>
      </c>
      <c r="O30" s="8">
        <v>46046</v>
      </c>
      <c r="P30" s="1" t="s">
        <v>94</v>
      </c>
    </row>
    <row r="31" spans="1:16" x14ac:dyDescent="0.2">
      <c r="A31" s="6" t="s">
        <v>157</v>
      </c>
      <c r="B31" s="6" t="s">
        <v>90</v>
      </c>
      <c r="C31" s="1" t="s">
        <v>84</v>
      </c>
      <c r="D31" s="1">
        <v>2024</v>
      </c>
      <c r="E31" s="1">
        <v>2024</v>
      </c>
      <c r="F31" s="1" t="s">
        <v>85</v>
      </c>
      <c r="G31" s="1" t="s">
        <v>91</v>
      </c>
      <c r="H31" s="1" t="s">
        <v>158</v>
      </c>
      <c r="J31" s="1" t="s">
        <v>93</v>
      </c>
      <c r="K31" s="1">
        <v>42</v>
      </c>
      <c r="L31" s="1">
        <v>29.7</v>
      </c>
      <c r="N31" s="1" t="s">
        <v>97</v>
      </c>
      <c r="O31" s="8">
        <v>46046</v>
      </c>
      <c r="P31" s="1" t="s">
        <v>94</v>
      </c>
    </row>
    <row r="32" spans="1:16" x14ac:dyDescent="0.2">
      <c r="A32" s="6" t="s">
        <v>159</v>
      </c>
      <c r="B32" s="6" t="s">
        <v>90</v>
      </c>
      <c r="C32" s="1" t="s">
        <v>84</v>
      </c>
      <c r="D32" s="1">
        <v>2024</v>
      </c>
      <c r="E32" s="1">
        <v>2024</v>
      </c>
      <c r="F32" s="1" t="s">
        <v>85</v>
      </c>
      <c r="G32" s="1" t="s">
        <v>91</v>
      </c>
      <c r="H32" s="1" t="s">
        <v>92</v>
      </c>
      <c r="J32" s="1" t="s">
        <v>93</v>
      </c>
      <c r="K32" s="1">
        <v>42</v>
      </c>
      <c r="L32" s="1">
        <v>29.7</v>
      </c>
      <c r="N32" s="1" t="s">
        <v>97</v>
      </c>
      <c r="O32" s="8">
        <v>46046</v>
      </c>
      <c r="P32" s="1" t="s">
        <v>94</v>
      </c>
    </row>
    <row r="33" spans="1:16" x14ac:dyDescent="0.2">
      <c r="A33" s="6" t="s">
        <v>160</v>
      </c>
      <c r="B33" s="6" t="s">
        <v>90</v>
      </c>
      <c r="C33" s="1" t="s">
        <v>84</v>
      </c>
      <c r="D33" s="1">
        <v>2024</v>
      </c>
      <c r="E33" s="1">
        <v>2024</v>
      </c>
      <c r="F33" s="1" t="s">
        <v>85</v>
      </c>
      <c r="G33" s="1" t="s">
        <v>91</v>
      </c>
      <c r="H33" s="1" t="s">
        <v>92</v>
      </c>
      <c r="J33" s="1" t="s">
        <v>93</v>
      </c>
      <c r="K33" s="1">
        <v>42</v>
      </c>
      <c r="L33" s="1">
        <v>29.7</v>
      </c>
      <c r="N33" s="1" t="s">
        <v>97</v>
      </c>
      <c r="O33" s="8">
        <v>46046</v>
      </c>
      <c r="P33" s="1" t="s">
        <v>94</v>
      </c>
    </row>
    <row r="34" spans="1:16" x14ac:dyDescent="0.2">
      <c r="A34" s="6" t="s">
        <v>161</v>
      </c>
      <c r="B34" s="6" t="s">
        <v>90</v>
      </c>
      <c r="C34" s="1" t="s">
        <v>84</v>
      </c>
      <c r="D34" s="1">
        <v>2024</v>
      </c>
      <c r="E34" s="1">
        <v>2024</v>
      </c>
      <c r="F34" s="1" t="s">
        <v>85</v>
      </c>
      <c r="G34" s="1" t="s">
        <v>91</v>
      </c>
      <c r="H34" s="1" t="s">
        <v>92</v>
      </c>
      <c r="J34" s="1" t="s">
        <v>93</v>
      </c>
      <c r="K34" s="1">
        <v>42</v>
      </c>
      <c r="L34" s="1">
        <v>29.7</v>
      </c>
      <c r="N34" s="1" t="s">
        <v>97</v>
      </c>
      <c r="O34" s="8">
        <v>46046</v>
      </c>
      <c r="P34" s="1" t="s">
        <v>94</v>
      </c>
    </row>
    <row r="35" spans="1:16" x14ac:dyDescent="0.2">
      <c r="A35" s="6" t="s">
        <v>162</v>
      </c>
      <c r="B35" s="6" t="s">
        <v>90</v>
      </c>
      <c r="C35" s="1" t="s">
        <v>163</v>
      </c>
      <c r="D35" s="1">
        <v>2024</v>
      </c>
      <c r="E35" s="1">
        <v>2024</v>
      </c>
      <c r="F35" s="1" t="s">
        <v>85</v>
      </c>
      <c r="G35" s="1" t="s">
        <v>91</v>
      </c>
      <c r="H35" s="1" t="s">
        <v>130</v>
      </c>
      <c r="J35" s="1" t="s">
        <v>93</v>
      </c>
      <c r="K35" s="1">
        <v>42</v>
      </c>
      <c r="L35" s="1">
        <v>29.7</v>
      </c>
      <c r="N35" s="1" t="s">
        <v>97</v>
      </c>
      <c r="O35" s="8">
        <v>46046</v>
      </c>
      <c r="P35" s="1" t="s">
        <v>94</v>
      </c>
    </row>
    <row r="36" spans="1:16" x14ac:dyDescent="0.2">
      <c r="A36" s="6" t="s">
        <v>164</v>
      </c>
      <c r="B36" s="6" t="s">
        <v>90</v>
      </c>
      <c r="C36" s="1" t="s">
        <v>165</v>
      </c>
      <c r="D36" s="1">
        <v>2024</v>
      </c>
      <c r="E36" s="1">
        <v>2024</v>
      </c>
      <c r="F36" s="1" t="s">
        <v>85</v>
      </c>
      <c r="G36" s="1" t="s">
        <v>91</v>
      </c>
      <c r="H36" s="1" t="s">
        <v>130</v>
      </c>
      <c r="J36" s="1" t="s">
        <v>93</v>
      </c>
      <c r="K36" s="1">
        <v>42</v>
      </c>
      <c r="L36" s="1">
        <v>29.7</v>
      </c>
      <c r="N36" s="1" t="s">
        <v>97</v>
      </c>
      <c r="O36" s="8">
        <v>46046</v>
      </c>
      <c r="P36" s="1" t="s">
        <v>94</v>
      </c>
    </row>
    <row r="37" spans="1:16" x14ac:dyDescent="0.2">
      <c r="A37" s="6" t="s">
        <v>166</v>
      </c>
      <c r="B37" s="6" t="s">
        <v>90</v>
      </c>
      <c r="C37" s="1" t="s">
        <v>84</v>
      </c>
      <c r="D37" s="1">
        <v>2024</v>
      </c>
      <c r="E37" s="1">
        <v>2024</v>
      </c>
      <c r="F37" s="1" t="s">
        <v>85</v>
      </c>
      <c r="G37" s="1" t="s">
        <v>91</v>
      </c>
      <c r="H37" s="1" t="s">
        <v>130</v>
      </c>
      <c r="J37" s="1" t="s">
        <v>93</v>
      </c>
      <c r="K37" s="1">
        <v>42</v>
      </c>
      <c r="L37" s="1">
        <v>29.7</v>
      </c>
      <c r="N37" s="1" t="s">
        <v>97</v>
      </c>
      <c r="O37" s="8">
        <v>46046</v>
      </c>
      <c r="P37" s="1" t="s">
        <v>94</v>
      </c>
    </row>
    <row r="38" spans="1:16" x14ac:dyDescent="0.2">
      <c r="A38" s="6" t="s">
        <v>167</v>
      </c>
      <c r="B38" s="6" t="s">
        <v>90</v>
      </c>
      <c r="C38" s="1" t="s">
        <v>84</v>
      </c>
      <c r="D38" s="1">
        <v>2024</v>
      </c>
      <c r="E38" s="1">
        <v>2024</v>
      </c>
      <c r="F38" s="1" t="s">
        <v>85</v>
      </c>
      <c r="G38" s="1" t="s">
        <v>91</v>
      </c>
      <c r="H38" s="1" t="s">
        <v>168</v>
      </c>
      <c r="J38" s="1" t="s">
        <v>93</v>
      </c>
      <c r="K38" s="1">
        <v>42</v>
      </c>
      <c r="L38" s="1">
        <v>29.7</v>
      </c>
      <c r="N38" s="1" t="s">
        <v>97</v>
      </c>
      <c r="O38" s="8">
        <v>46046</v>
      </c>
      <c r="P38" s="1" t="s">
        <v>94</v>
      </c>
    </row>
    <row r="39" spans="1:16" x14ac:dyDescent="0.2">
      <c r="A39" s="6" t="s">
        <v>169</v>
      </c>
      <c r="B39" s="6" t="s">
        <v>90</v>
      </c>
      <c r="C39" s="1" t="s">
        <v>84</v>
      </c>
      <c r="D39" s="1">
        <v>2024</v>
      </c>
      <c r="E39" s="1">
        <v>2024</v>
      </c>
      <c r="F39" s="1" t="s">
        <v>85</v>
      </c>
      <c r="G39" s="1" t="s">
        <v>91</v>
      </c>
      <c r="H39" s="1" t="s">
        <v>168</v>
      </c>
      <c r="J39" s="1" t="s">
        <v>93</v>
      </c>
      <c r="K39" s="1">
        <v>42</v>
      </c>
      <c r="L39" s="1">
        <v>29.7</v>
      </c>
      <c r="N39" s="1" t="s">
        <v>97</v>
      </c>
      <c r="O39" s="8">
        <v>46046</v>
      </c>
      <c r="P39" s="1" t="s">
        <v>94</v>
      </c>
    </row>
    <row r="40" spans="1:16" x14ac:dyDescent="0.2">
      <c r="A40" s="6" t="s">
        <v>170</v>
      </c>
      <c r="B40" s="6" t="s">
        <v>90</v>
      </c>
      <c r="C40" s="1" t="s">
        <v>84</v>
      </c>
      <c r="D40" s="1">
        <v>2024</v>
      </c>
      <c r="E40" s="1">
        <v>2024</v>
      </c>
      <c r="F40" s="1" t="s">
        <v>85</v>
      </c>
      <c r="G40" s="1" t="s">
        <v>91</v>
      </c>
      <c r="H40" s="1" t="s">
        <v>126</v>
      </c>
      <c r="J40" s="1" t="s">
        <v>93</v>
      </c>
      <c r="K40" s="1">
        <v>42</v>
      </c>
      <c r="L40" s="1">
        <v>29.7</v>
      </c>
      <c r="N40" s="1" t="s">
        <v>97</v>
      </c>
      <c r="O40" s="8">
        <v>46046</v>
      </c>
      <c r="P40" s="1" t="s">
        <v>94</v>
      </c>
    </row>
    <row r="41" spans="1:16" x14ac:dyDescent="0.2">
      <c r="A41" s="6" t="s">
        <v>171</v>
      </c>
      <c r="B41" s="6" t="s">
        <v>90</v>
      </c>
      <c r="C41" s="1" t="s">
        <v>84</v>
      </c>
      <c r="D41" s="1">
        <v>2024</v>
      </c>
      <c r="E41" s="1">
        <v>2024</v>
      </c>
      <c r="F41" s="1" t="s">
        <v>85</v>
      </c>
      <c r="G41" s="1" t="s">
        <v>91</v>
      </c>
      <c r="H41" s="1" t="s">
        <v>126</v>
      </c>
      <c r="J41" s="1" t="s">
        <v>93</v>
      </c>
      <c r="K41" s="1">
        <v>42</v>
      </c>
      <c r="L41" s="1">
        <v>29.7</v>
      </c>
      <c r="N41" s="1" t="s">
        <v>97</v>
      </c>
      <c r="O41" s="8">
        <v>46046</v>
      </c>
      <c r="P41" s="1" t="s">
        <v>94</v>
      </c>
    </row>
    <row r="42" spans="1:16" x14ac:dyDescent="0.2">
      <c r="A42" s="6" t="s">
        <v>172</v>
      </c>
      <c r="B42" s="6" t="s">
        <v>90</v>
      </c>
      <c r="C42" s="1" t="s">
        <v>84</v>
      </c>
      <c r="D42" s="1">
        <v>2024</v>
      </c>
      <c r="E42" s="1">
        <v>2024</v>
      </c>
      <c r="F42" s="1" t="s">
        <v>85</v>
      </c>
      <c r="G42" s="1" t="s">
        <v>91</v>
      </c>
      <c r="H42" s="1" t="s">
        <v>126</v>
      </c>
      <c r="J42" s="1" t="s">
        <v>93</v>
      </c>
      <c r="K42" s="1">
        <v>42</v>
      </c>
      <c r="L42" s="1">
        <v>29.7</v>
      </c>
      <c r="N42" s="1" t="s">
        <v>97</v>
      </c>
      <c r="O42" s="8">
        <v>46046</v>
      </c>
      <c r="P42" s="1" t="s">
        <v>94</v>
      </c>
    </row>
    <row r="43" spans="1:16" x14ac:dyDescent="0.2">
      <c r="A43" s="6" t="s">
        <v>173</v>
      </c>
      <c r="B43" s="6" t="s">
        <v>90</v>
      </c>
      <c r="C43" s="1" t="s">
        <v>84</v>
      </c>
      <c r="D43" s="1">
        <v>2024</v>
      </c>
      <c r="E43" s="1">
        <v>2024</v>
      </c>
      <c r="F43" s="1" t="s">
        <v>85</v>
      </c>
      <c r="G43" s="1" t="s">
        <v>91</v>
      </c>
      <c r="H43" s="1" t="s">
        <v>92</v>
      </c>
      <c r="J43" s="1" t="s">
        <v>93</v>
      </c>
      <c r="K43" s="1">
        <v>42</v>
      </c>
      <c r="L43" s="1">
        <v>29.7</v>
      </c>
      <c r="N43" s="1" t="s">
        <v>97</v>
      </c>
      <c r="O43" s="8">
        <v>46046</v>
      </c>
      <c r="P43" s="1" t="s">
        <v>94</v>
      </c>
    </row>
    <row r="44" spans="1:16" x14ac:dyDescent="0.2">
      <c r="A44" s="6" t="s">
        <v>174</v>
      </c>
      <c r="B44" s="6" t="s">
        <v>90</v>
      </c>
      <c r="C44" s="1" t="s">
        <v>84</v>
      </c>
      <c r="D44" s="1">
        <v>2024</v>
      </c>
      <c r="E44" s="1">
        <v>2024</v>
      </c>
      <c r="F44" s="1" t="s">
        <v>85</v>
      </c>
      <c r="G44" s="1" t="s">
        <v>91</v>
      </c>
      <c r="H44" s="1" t="s">
        <v>130</v>
      </c>
      <c r="J44" s="1" t="s">
        <v>93</v>
      </c>
      <c r="K44" s="1">
        <v>42</v>
      </c>
      <c r="L44" s="1">
        <v>29.7</v>
      </c>
      <c r="N44" s="1" t="s">
        <v>97</v>
      </c>
      <c r="O44" s="8">
        <v>46046</v>
      </c>
      <c r="P44" s="1" t="s">
        <v>94</v>
      </c>
    </row>
    <row r="45" spans="1:16" x14ac:dyDescent="0.2">
      <c r="A45" s="6" t="s">
        <v>175</v>
      </c>
      <c r="B45" s="6" t="s">
        <v>90</v>
      </c>
      <c r="C45" s="1" t="s">
        <v>84</v>
      </c>
      <c r="D45" s="1">
        <v>2024</v>
      </c>
      <c r="E45" s="1">
        <v>2024</v>
      </c>
      <c r="F45" s="1" t="s">
        <v>85</v>
      </c>
      <c r="G45" s="1" t="s">
        <v>91</v>
      </c>
      <c r="H45" s="1" t="s">
        <v>126</v>
      </c>
      <c r="J45" s="1" t="s">
        <v>93</v>
      </c>
      <c r="K45" s="1">
        <v>42</v>
      </c>
      <c r="L45" s="1">
        <v>29.7</v>
      </c>
      <c r="N45" s="1" t="s">
        <v>97</v>
      </c>
      <c r="O45" s="8">
        <v>46046</v>
      </c>
      <c r="P45" s="1" t="s">
        <v>94</v>
      </c>
    </row>
    <row r="46" spans="1:16" x14ac:dyDescent="0.2">
      <c r="A46" s="6" t="s">
        <v>176</v>
      </c>
      <c r="B46" s="6" t="s">
        <v>90</v>
      </c>
      <c r="C46" s="1" t="s">
        <v>84</v>
      </c>
      <c r="D46" s="1">
        <v>2024</v>
      </c>
      <c r="E46" s="1">
        <v>2024</v>
      </c>
      <c r="F46" s="1" t="s">
        <v>85</v>
      </c>
      <c r="G46" s="1" t="s">
        <v>91</v>
      </c>
      <c r="H46" s="1" t="s">
        <v>126</v>
      </c>
      <c r="J46" s="1" t="s">
        <v>93</v>
      </c>
      <c r="K46" s="1">
        <v>42</v>
      </c>
      <c r="L46" s="1">
        <v>29.7</v>
      </c>
      <c r="N46" s="1" t="s">
        <v>97</v>
      </c>
      <c r="O46" s="8">
        <v>46046</v>
      </c>
      <c r="P46" s="1" t="s">
        <v>94</v>
      </c>
    </row>
    <row r="47" spans="1:16" x14ac:dyDescent="0.2">
      <c r="A47" s="6" t="s">
        <v>177</v>
      </c>
      <c r="B47" s="6" t="s">
        <v>90</v>
      </c>
      <c r="C47" s="1" t="s">
        <v>84</v>
      </c>
      <c r="D47" s="1">
        <v>2024</v>
      </c>
      <c r="E47" s="1">
        <v>2024</v>
      </c>
      <c r="F47" s="1" t="s">
        <v>85</v>
      </c>
      <c r="G47" s="1" t="s">
        <v>91</v>
      </c>
      <c r="H47" s="1" t="s">
        <v>168</v>
      </c>
      <c r="J47" s="1" t="s">
        <v>93</v>
      </c>
      <c r="K47" s="1">
        <v>42</v>
      </c>
      <c r="L47" s="1">
        <v>29.7</v>
      </c>
      <c r="N47" s="1" t="s">
        <v>97</v>
      </c>
      <c r="O47" s="8">
        <v>46046</v>
      </c>
      <c r="P47" s="1" t="s">
        <v>94</v>
      </c>
    </row>
    <row r="48" spans="1:16" x14ac:dyDescent="0.2">
      <c r="A48" s="6" t="s">
        <v>178</v>
      </c>
      <c r="B48" s="6" t="s">
        <v>90</v>
      </c>
      <c r="C48" s="1" t="s">
        <v>84</v>
      </c>
      <c r="D48" s="1">
        <v>2024</v>
      </c>
      <c r="E48" s="1">
        <v>2024</v>
      </c>
      <c r="F48" s="1" t="s">
        <v>85</v>
      </c>
      <c r="G48" s="1" t="s">
        <v>91</v>
      </c>
      <c r="H48" s="1" t="s">
        <v>126</v>
      </c>
      <c r="J48" s="1" t="s">
        <v>93</v>
      </c>
      <c r="K48" s="1">
        <v>42</v>
      </c>
      <c r="L48" s="1">
        <v>29.7</v>
      </c>
      <c r="N48" s="1" t="s">
        <v>97</v>
      </c>
      <c r="O48" s="8">
        <v>46046</v>
      </c>
      <c r="P48" s="1" t="s">
        <v>94</v>
      </c>
    </row>
    <row r="49" spans="1:16" x14ac:dyDescent="0.2">
      <c r="A49" s="6" t="s">
        <v>179</v>
      </c>
      <c r="B49" s="6" t="s">
        <v>90</v>
      </c>
      <c r="C49" s="1" t="s">
        <v>84</v>
      </c>
      <c r="D49" s="1">
        <v>2024</v>
      </c>
      <c r="E49" s="1">
        <v>2024</v>
      </c>
      <c r="F49" s="1" t="s">
        <v>85</v>
      </c>
      <c r="G49" s="1" t="s">
        <v>91</v>
      </c>
      <c r="H49" s="1" t="s">
        <v>126</v>
      </c>
      <c r="J49" s="1" t="s">
        <v>93</v>
      </c>
      <c r="K49" s="1">
        <v>42</v>
      </c>
      <c r="L49" s="1">
        <v>29.7</v>
      </c>
      <c r="N49" s="1" t="s">
        <v>97</v>
      </c>
      <c r="O49" s="8">
        <v>46046</v>
      </c>
      <c r="P49" s="1" t="s">
        <v>94</v>
      </c>
    </row>
    <row r="50" spans="1:16" x14ac:dyDescent="0.2">
      <c r="A50" s="6" t="s">
        <v>180</v>
      </c>
      <c r="B50" s="6" t="s">
        <v>90</v>
      </c>
      <c r="C50" s="1" t="s">
        <v>84</v>
      </c>
      <c r="D50" s="1">
        <v>2024</v>
      </c>
      <c r="E50" s="1">
        <v>2024</v>
      </c>
      <c r="F50" s="1" t="s">
        <v>85</v>
      </c>
      <c r="G50" s="1" t="s">
        <v>91</v>
      </c>
      <c r="H50" s="1" t="s">
        <v>126</v>
      </c>
      <c r="J50" s="1" t="s">
        <v>93</v>
      </c>
      <c r="K50" s="1">
        <v>42</v>
      </c>
      <c r="L50" s="1">
        <v>29.7</v>
      </c>
      <c r="N50" s="1" t="s">
        <v>97</v>
      </c>
      <c r="O50" s="8">
        <v>46046</v>
      </c>
      <c r="P50" s="1" t="s">
        <v>94</v>
      </c>
    </row>
    <row r="51" spans="1:16" x14ac:dyDescent="0.2">
      <c r="A51" s="6" t="s">
        <v>181</v>
      </c>
      <c r="B51" s="6" t="s">
        <v>90</v>
      </c>
      <c r="C51" s="1" t="s">
        <v>84</v>
      </c>
      <c r="D51" s="1">
        <v>2024</v>
      </c>
      <c r="E51" s="1">
        <v>2024</v>
      </c>
      <c r="F51" s="1" t="s">
        <v>85</v>
      </c>
      <c r="G51" s="1" t="s">
        <v>91</v>
      </c>
      <c r="H51" s="1" t="s">
        <v>126</v>
      </c>
      <c r="J51" s="1" t="s">
        <v>93</v>
      </c>
      <c r="K51" s="1">
        <v>42</v>
      </c>
      <c r="L51" s="1">
        <v>29.7</v>
      </c>
      <c r="N51" s="1" t="s">
        <v>97</v>
      </c>
      <c r="O51" s="8">
        <v>46046</v>
      </c>
      <c r="P51" s="1" t="s">
        <v>94</v>
      </c>
    </row>
    <row r="52" spans="1:16" x14ac:dyDescent="0.2">
      <c r="A52" s="6" t="s">
        <v>182</v>
      </c>
      <c r="B52" s="6" t="s">
        <v>90</v>
      </c>
      <c r="C52" s="1" t="s">
        <v>84</v>
      </c>
      <c r="D52" s="1">
        <v>2024</v>
      </c>
      <c r="E52" s="1">
        <v>2024</v>
      </c>
      <c r="F52" s="1" t="s">
        <v>85</v>
      </c>
      <c r="G52" s="1" t="s">
        <v>91</v>
      </c>
      <c r="H52" s="1" t="s">
        <v>126</v>
      </c>
      <c r="J52" s="1" t="s">
        <v>93</v>
      </c>
      <c r="K52" s="1">
        <v>42</v>
      </c>
      <c r="L52" s="1">
        <v>29.7</v>
      </c>
      <c r="N52" s="1" t="s">
        <v>97</v>
      </c>
      <c r="O52" s="8">
        <v>46046</v>
      </c>
      <c r="P52" s="1" t="s">
        <v>94</v>
      </c>
    </row>
    <row r="53" spans="1:16" x14ac:dyDescent="0.2">
      <c r="A53" s="6" t="s">
        <v>183</v>
      </c>
      <c r="B53" s="6" t="s">
        <v>90</v>
      </c>
      <c r="C53" s="1" t="s">
        <v>84</v>
      </c>
      <c r="D53" s="1">
        <v>2024</v>
      </c>
      <c r="E53" s="1">
        <v>2024</v>
      </c>
      <c r="F53" s="1" t="s">
        <v>85</v>
      </c>
      <c r="G53" s="1" t="s">
        <v>91</v>
      </c>
      <c r="H53" s="1" t="s">
        <v>126</v>
      </c>
      <c r="J53" s="1" t="s">
        <v>93</v>
      </c>
      <c r="K53" s="1">
        <v>42</v>
      </c>
      <c r="L53" s="1">
        <v>29.7</v>
      </c>
      <c r="N53" s="1" t="s">
        <v>97</v>
      </c>
      <c r="O53" s="8">
        <v>46046</v>
      </c>
      <c r="P53" s="1" t="s">
        <v>94</v>
      </c>
    </row>
    <row r="54" spans="1:16" x14ac:dyDescent="0.2">
      <c r="A54" s="6" t="s">
        <v>184</v>
      </c>
      <c r="B54" s="6" t="s">
        <v>90</v>
      </c>
      <c r="C54" s="1" t="s">
        <v>84</v>
      </c>
      <c r="D54" s="1">
        <v>2024</v>
      </c>
      <c r="E54" s="1">
        <v>2024</v>
      </c>
      <c r="F54" s="1" t="s">
        <v>85</v>
      </c>
      <c r="G54" s="1" t="s">
        <v>91</v>
      </c>
      <c r="H54" s="1" t="s">
        <v>130</v>
      </c>
      <c r="J54" s="1" t="s">
        <v>93</v>
      </c>
      <c r="K54" s="1">
        <v>42</v>
      </c>
      <c r="L54" s="1">
        <v>29.7</v>
      </c>
      <c r="N54" s="1" t="s">
        <v>97</v>
      </c>
      <c r="O54" s="8">
        <v>46046</v>
      </c>
      <c r="P54" s="1" t="s">
        <v>94</v>
      </c>
    </row>
    <row r="55" spans="1:16" x14ac:dyDescent="0.2">
      <c r="A55" s="6" t="s">
        <v>185</v>
      </c>
      <c r="B55" s="6" t="s">
        <v>90</v>
      </c>
      <c r="C55" s="1" t="s">
        <v>84</v>
      </c>
      <c r="D55" s="1">
        <v>2024</v>
      </c>
      <c r="E55" s="1">
        <v>2024</v>
      </c>
      <c r="F55" s="1" t="s">
        <v>85</v>
      </c>
      <c r="G55" s="1" t="s">
        <v>91</v>
      </c>
      <c r="H55" s="1" t="s">
        <v>92</v>
      </c>
      <c r="J55" s="1" t="s">
        <v>93</v>
      </c>
      <c r="K55" s="1">
        <v>42</v>
      </c>
      <c r="L55" s="1">
        <v>29.7</v>
      </c>
      <c r="N55" s="1" t="s">
        <v>97</v>
      </c>
      <c r="O55" s="8">
        <v>46046</v>
      </c>
      <c r="P55" s="1" t="s">
        <v>94</v>
      </c>
    </row>
    <row r="56" spans="1:16" x14ac:dyDescent="0.2">
      <c r="A56" s="6" t="s">
        <v>186</v>
      </c>
      <c r="B56" s="6" t="s">
        <v>90</v>
      </c>
      <c r="C56" s="1" t="s">
        <v>84</v>
      </c>
      <c r="D56" s="1">
        <v>2024</v>
      </c>
      <c r="E56" s="1">
        <v>2024</v>
      </c>
      <c r="F56" s="1" t="s">
        <v>85</v>
      </c>
      <c r="G56" s="1" t="s">
        <v>91</v>
      </c>
      <c r="H56" s="1" t="s">
        <v>92</v>
      </c>
      <c r="J56" s="1" t="s">
        <v>93</v>
      </c>
      <c r="K56" s="1">
        <v>42</v>
      </c>
      <c r="L56" s="1">
        <v>29.7</v>
      </c>
      <c r="N56" s="1" t="s">
        <v>97</v>
      </c>
      <c r="O56" s="8">
        <v>46046</v>
      </c>
      <c r="P56" s="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7D8E-FD08-1349-9CBB-22A16DB9F6B8}">
  <dimension ref="A1:H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baseColWidth="10" defaultRowHeight="17" x14ac:dyDescent="0.2"/>
  <cols>
    <col min="1" max="3" width="20.83203125" style="1" customWidth="1"/>
    <col min="4" max="4" width="24" style="1" bestFit="1" customWidth="1"/>
    <col min="5" max="5" width="20.83203125" style="1" customWidth="1"/>
    <col min="6" max="6" width="23.1640625" style="1" bestFit="1" customWidth="1"/>
    <col min="7" max="8" width="20.83203125" style="1" customWidth="1"/>
    <col min="9" max="16384" width="10.83203125" style="1"/>
  </cols>
  <sheetData>
    <row r="1" spans="1:8" s="3" customFormat="1" x14ac:dyDescent="0.2">
      <c r="A1" s="3" t="s">
        <v>14</v>
      </c>
      <c r="B1" s="3" t="s">
        <v>3</v>
      </c>
      <c r="C1" s="3" t="s">
        <v>15</v>
      </c>
      <c r="D1" s="3" t="s">
        <v>16</v>
      </c>
      <c r="E1" s="3" t="s">
        <v>17</v>
      </c>
      <c r="F1" s="3" t="s">
        <v>86</v>
      </c>
      <c r="G1" s="3" t="s">
        <v>67</v>
      </c>
      <c r="H1" s="3" t="s">
        <v>9</v>
      </c>
    </row>
    <row r="2" spans="1:8" x14ac:dyDescent="0.2">
      <c r="A2" s="6" t="s">
        <v>98</v>
      </c>
      <c r="B2" s="6" t="s">
        <v>83</v>
      </c>
      <c r="C2" s="1" t="s">
        <v>99</v>
      </c>
      <c r="D2" s="1" t="s">
        <v>101</v>
      </c>
      <c r="E2" s="1" t="s">
        <v>102</v>
      </c>
      <c r="F2" s="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07C2-25E9-AF4C-9C45-B37330E6C0EA}">
  <dimension ref="A1:D2"/>
  <sheetViews>
    <sheetView workbookViewId="0">
      <selection activeCell="A3" sqref="A3"/>
    </sheetView>
  </sheetViews>
  <sheetFormatPr baseColWidth="10" defaultRowHeight="17" x14ac:dyDescent="0.2"/>
  <cols>
    <col min="1" max="1" width="24" style="1" bestFit="1" customWidth="1"/>
    <col min="2" max="2" width="14.33203125" style="1" customWidth="1"/>
    <col min="3" max="3" width="24" style="1" bestFit="1" customWidth="1"/>
    <col min="4" max="4" width="20.83203125" style="1" customWidth="1"/>
  </cols>
  <sheetData>
    <row r="1" spans="1:4" x14ac:dyDescent="0.2">
      <c r="A1" s="3" t="s">
        <v>111</v>
      </c>
      <c r="B1" s="3" t="s">
        <v>3</v>
      </c>
      <c r="C1" s="3" t="s">
        <v>16</v>
      </c>
      <c r="D1" s="3" t="s">
        <v>105</v>
      </c>
    </row>
    <row r="2" spans="1:4" x14ac:dyDescent="0.2">
      <c r="A2" s="6" t="s">
        <v>98</v>
      </c>
      <c r="B2" s="6" t="s">
        <v>83</v>
      </c>
      <c r="C2" s="1" t="s">
        <v>104</v>
      </c>
      <c r="D2" s="1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0609-FE54-1C46-AE81-1F762FADE82A}">
  <sheetPr>
    <tabColor theme="9" tint="0.39997558519241921"/>
  </sheetPr>
  <dimension ref="A1:D1"/>
  <sheetViews>
    <sheetView workbookViewId="0">
      <selection activeCell="C2" sqref="C2"/>
    </sheetView>
  </sheetViews>
  <sheetFormatPr baseColWidth="10" defaultRowHeight="17" customHeight="1" x14ac:dyDescent="0.2"/>
  <cols>
    <col min="1" max="1" width="26.33203125" style="1" customWidth="1"/>
    <col min="2" max="3" width="31.33203125" style="1" customWidth="1"/>
    <col min="4" max="4" width="44.33203125" style="1" bestFit="1" customWidth="1"/>
  </cols>
  <sheetData>
    <row r="1" spans="1:4" x14ac:dyDescent="0.2">
      <c r="A1" s="3" t="s">
        <v>78</v>
      </c>
      <c r="B1" s="3" t="s">
        <v>31</v>
      </c>
      <c r="C1" s="3" t="s">
        <v>81</v>
      </c>
      <c r="D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schema</vt:lpstr>
      <vt:lpstr>Works</vt:lpstr>
      <vt:lpstr>WorkImages</vt:lpstr>
      <vt:lpstr>WorkAttachments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Michael (NHS ENGLAND)</dc:creator>
  <cp:lastModifiedBy>DAVIES, Michael (NHS ENGLAND)</cp:lastModifiedBy>
  <dcterms:created xsi:type="dcterms:W3CDTF">2026-01-22T18:44:45Z</dcterms:created>
  <dcterms:modified xsi:type="dcterms:W3CDTF">2026-01-28T19:43:58Z</dcterms:modified>
</cp:coreProperties>
</file>