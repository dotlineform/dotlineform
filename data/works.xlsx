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358B61E4-2537-5B4E-AD24-39928AF9369C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lookup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6" i="1"/>
  <c r="A33" i="1"/>
  <c r="A12" i="1"/>
  <c r="A13" i="1"/>
  <c r="A35" i="1"/>
  <c r="A34" i="1"/>
  <c r="A32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<sst xmlns="http://schemas.openxmlformats.org/spreadsheetml/2006/main" count="154" uniqueCount="110">
  <si>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</si>
  <si>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</si>
  <si>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</si>
  <si>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</si>
  <si>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</si>
  <si>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</si>
  <si>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</si>
  <si>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</si>
  <si>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</si>
  <si>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</si>
  <si>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</si>
  <si>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</si>
  <si>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</si>
  <si>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</si>
  <si>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</si>
  <si>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</si>
  <si>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sequence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</si>
  <si>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</si>
  <si>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</si>
  <si>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</si>
  <si>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</si>
  <si>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</si>
  <si>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</si>
  <si>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</si>
  <si>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</si>
  <si>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</si>
  <si>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</si>
  <si>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integer: 1,2,3…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</si>
  <si>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</si>
  <si>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</si>
  <si>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</si>
  <si>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</si>
  <si>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</si>
  <si>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</si>
  <si>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</si>
  <si>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</si>
  <si>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sequential ID (e.g., 00042), text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</si>
  <si>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</si>
  <si>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</si>
  <si>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</si>
  <si>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</si>
  <si>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</si>
  <si>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</si>
  <si>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</si>
  <si>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</si>
  <si>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</si>
  <si>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</si>
  <si>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</si>
  <si>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</si>
  <si>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</si>
  <si>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</si>
  <si>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</si>
  <si>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</si>
  <si>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</si>
  <si>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</si>
  <si>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</si>
  <si>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</si>
  <si>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</si>
  <si>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</si>
  <si>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</si>
  <si>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</si>
  <si>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</si>
  <si>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</si>
  <si>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</si>
  <si>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ID for the image record e.g. IMG-001 or 001</t>
  </si>
  <si>
    <t>reference for image rows; debugging; optional curation</t>
  </si>
  <si>
    <t>foreign key to work.work_id e.g. 00042</t>
  </si>
  <si>
    <t>join supplemental images to a work page.</t>
  </si>
  <si>
    <t>detail | wip | install | alternate</t>
  </si>
  <si>
    <t>consistent meaning and optional grouping on the work page.</t>
  </si>
  <si>
    <t>display order.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</si>
  <si>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</si>
  <si>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</si>
  <si>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</si>
  <si>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</si>
  <si>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</si>
  <si>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</si>
  <si>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</si>
  <si>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filename e.g. 000042-detail-01.webp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</si>
  <si>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</si>
  <si>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</si>
  <si>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</si>
  <si>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</si>
  <si>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</si>
  <si>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</si>
  <si>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</si>
  <si>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</si>
  <si>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</si>
  <si>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</si>
  <si>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</si>
  <si>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</si>
  <si>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</si>
  <si>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</si>
  <si>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</si>
  <si>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</si>
  <si>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</si>
  <si>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</si>
  <si>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</si>
  <si>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</si>
  <si>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</si>
  <si>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</si>
  <si>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</si>
  <si>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</si>
  <si>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</si>
  <si>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</si>
  <si>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</si>
  <si>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curves</t>
  </si>
  <si>
    <t>box 2 (A3)</t>
  </si>
  <si>
    <t>00361</t>
  </si>
  <si>
    <t>landscape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</si>
</sst>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35"/>
  <sheetViews>
    <sheetView zoomScaleNormal="100" workbookViewId="0">
      <selection activeCell="E7" sqref="E7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31</v>
      </c>
    </row>
    <row r="2" spans="1:5" x14ac:dyDescent="0.2">
      <c r="A2" s="3" t="s">
        <v>29</v>
      </c>
    </row>
    <row r="3" spans="1:5" x14ac:dyDescent="0.2">
      <c r="A3" s="4" t="s">
        <v>32</v>
      </c>
      <c r="B3" s="3" t="s">
        <v>0</v>
      </c>
      <c r="C3" s="3" t="s">
        <v>37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36</v>
      </c>
      <c r="E4" s="1" t="s">
        <v>43</v>
      </c>
    </row>
    <row r="5" spans="1:5" x14ac:dyDescent="0.2">
      <c r="A5" s="1" t="b">
        <f>NOT(ISERROR(HLOOKUP(B5,Works!$1:$1,1,FALSE)))</f>
        <v>1</v>
      </c>
      <c r="B5" s="1" t="s">
        <v>97</v>
      </c>
      <c r="D5" s="1" t="s">
        <v>98</v>
      </c>
      <c r="E5" s="1" t="s">
        <v>101</v>
      </c>
    </row>
    <row r="6" spans="1:5" x14ac:dyDescent="0.2">
      <c r="A6" s="1" t="b">
        <f>NOT(ISERROR(HLOOKUP(B6,Works!$1:$1,1,FALSE)))</f>
        <v>1</v>
      </c>
      <c r="B6" s="1" t="s">
        <v>99</v>
      </c>
      <c r="D6" s="1" t="s">
        <v>100</v>
      </c>
      <c r="E6" s="1" t="s">
        <v>101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41</v>
      </c>
      <c r="E7" s="1" t="s">
        <v>44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42</v>
      </c>
      <c r="E8" s="1" t="s">
        <v>45</v>
      </c>
    </row>
    <row r="9" spans="1:5" x14ac:dyDescent="0.2">
      <c r="A9" s="1" t="b">
        <f>NOT(ISERROR(HLOOKUP(B9,Works!$1:$1,1,FALSE)))</f>
        <v>1</v>
      </c>
      <c r="B9" s="1" t="s">
        <v>19</v>
      </c>
      <c r="D9" s="1" t="s">
        <v>21</v>
      </c>
      <c r="E9" s="1" t="s">
        <v>20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46</v>
      </c>
      <c r="E10" s="1" t="s">
        <v>79</v>
      </c>
    </row>
    <row r="11" spans="1:5" x14ac:dyDescent="0.2">
      <c r="A11" s="1" t="b">
        <f>NOT(ISERROR(HLOOKUP(B11,Works!$1:$1,1,FALSE)))</f>
        <v>1</v>
      </c>
      <c r="B11" s="1" t="s">
        <v>84</v>
      </c>
      <c r="C11" s="1" t="s">
        <v>83</v>
      </c>
      <c r="D11" s="1" t="s">
        <v>80</v>
      </c>
      <c r="E11" s="1" t="s">
        <v>82</v>
      </c>
    </row>
    <row r="12" spans="1:5" x14ac:dyDescent="0.2">
      <c r="A12" s="1" t="b">
        <f>NOT(ISERROR(HLOOKUP(B12,Works!$1:$1,1,FALSE)))</f>
        <v>1</v>
      </c>
      <c r="B12" s="1" t="s">
        <v>85</v>
      </c>
      <c r="D12" s="1" t="s">
        <v>62</v>
      </c>
      <c r="E12" s="1" t="s">
        <v>63</v>
      </c>
    </row>
    <row r="13" spans="1:5" x14ac:dyDescent="0.2">
      <c r="A13" s="1" t="b">
        <f>NOT(ISERROR(HLOOKUP(B13,Works!$1:$1,1,FALSE)))</f>
        <v>1</v>
      </c>
      <c r="B13" s="1" t="s">
        <v>25</v>
      </c>
      <c r="D13" s="1" t="s">
        <v>81</v>
      </c>
      <c r="E13" s="1" t="s">
        <v>63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52</v>
      </c>
      <c r="E14" s="1" t="s">
        <v>35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53</v>
      </c>
      <c r="E15" s="1" t="s">
        <v>35</v>
      </c>
    </row>
    <row r="16" spans="1:5" x14ac:dyDescent="0.2">
      <c r="A16" s="1" t="b">
        <f>NOT(ISERROR(HLOOKUP(B16,Works!$1:$1,1,FALSE)))</f>
        <v>1</v>
      </c>
      <c r="B16" s="1" t="s">
        <v>24</v>
      </c>
      <c r="D16" s="1" t="s">
        <v>54</v>
      </c>
      <c r="E16" s="1" t="s">
        <v>55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90</v>
      </c>
      <c r="D17" s="1" t="s">
        <v>47</v>
      </c>
      <c r="E17" s="1" t="s">
        <v>48</v>
      </c>
    </row>
    <row r="18" spans="1:5" x14ac:dyDescent="0.2">
      <c r="A18" s="1" t="b">
        <f>NOT(ISERROR(HLOOKUP(B18,Works!$1:$1,1,FALSE)))</f>
        <v>1</v>
      </c>
      <c r="B18" s="1" t="s">
        <v>38</v>
      </c>
      <c r="D18" s="1" t="s">
        <v>49</v>
      </c>
      <c r="E18" s="1" t="s">
        <v>50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87</v>
      </c>
      <c r="D19" s="1" t="s">
        <v>39</v>
      </c>
      <c r="E19" s="1" t="s">
        <v>51</v>
      </c>
    </row>
    <row r="20" spans="1:5" x14ac:dyDescent="0.2">
      <c r="A20" s="1" t="b">
        <f>NOT(ISERROR(HLOOKUP(B20,Works!$1:$1,1,FALSE)))</f>
        <v>1</v>
      </c>
      <c r="B20" s="1" t="s">
        <v>59</v>
      </c>
      <c r="C20" s="1" t="s">
        <v>88</v>
      </c>
      <c r="D20" s="1" t="s">
        <v>60</v>
      </c>
      <c r="E20" s="1" t="s">
        <v>61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56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57</v>
      </c>
      <c r="E22" s="1" t="s">
        <v>58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40</v>
      </c>
    </row>
    <row r="25" spans="1:5" ht="29" x14ac:dyDescent="0.35">
      <c r="A25" s="2" t="s">
        <v>30</v>
      </c>
    </row>
    <row r="26" spans="1:5" x14ac:dyDescent="0.2">
      <c r="A26" s="3" t="s">
        <v>28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64</v>
      </c>
      <c r="E27" s="1" t="s">
        <v>65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66</v>
      </c>
      <c r="E28" s="1" t="s">
        <v>67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88</v>
      </c>
      <c r="D29" s="1" t="s">
        <v>68</v>
      </c>
      <c r="E29" s="1" t="s">
        <v>69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27</v>
      </c>
      <c r="E30" s="1" t="s">
        <v>70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78</v>
      </c>
      <c r="E31" s="1" t="s">
        <v>71</v>
      </c>
    </row>
    <row r="32" spans="1:5" x14ac:dyDescent="0.2">
      <c r="A32" s="1" t="b">
        <f>NOT(ISERROR(HLOOKUP(B32,WorkImages!$1:$1,1,FALSE)))</f>
        <v>1</v>
      </c>
      <c r="B32" s="1" t="s">
        <v>18</v>
      </c>
      <c r="D32" s="1" t="s">
        <v>26</v>
      </c>
      <c r="E32" s="1" t="s">
        <v>72</v>
      </c>
    </row>
    <row r="33" spans="1:5" x14ac:dyDescent="0.2">
      <c r="A33" s="1" t="b">
        <f>NOT(ISERROR(HLOOKUP(B33,WorkImages!$1:$1,1,FALSE)))</f>
        <v>1</v>
      </c>
      <c r="B33" s="1" t="s">
        <v>94</v>
      </c>
      <c r="D33" s="1" t="s">
        <v>95</v>
      </c>
      <c r="E33" s="1" t="s">
        <v>96</v>
      </c>
    </row>
    <row r="34" spans="1:5" x14ac:dyDescent="0.2">
      <c r="A34" s="1" t="b">
        <f>NOT(ISERROR(HLOOKUP(B34,WorkImages!$1:$1,1,FALSE)))</f>
        <v>1</v>
      </c>
      <c r="B34" s="1" t="s">
        <v>74</v>
      </c>
      <c r="D34" s="1" t="s">
        <v>77</v>
      </c>
      <c r="E34" s="1" t="s">
        <v>73</v>
      </c>
    </row>
    <row r="35" spans="1:5" x14ac:dyDescent="0.2">
      <c r="A35" s="1" t="b">
        <f>NOT(ISERROR(HLOOKUP(B35,WorkImages!$1:$1,1,FALSE)))</f>
        <v>1</v>
      </c>
      <c r="B35" s="1" t="s">
        <v>9</v>
      </c>
      <c r="D35" s="1" t="s">
        <v>75</v>
      </c>
      <c r="E35" s="1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3" sqref="M3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9" width="20.83203125" style="1" customWidth="1"/>
    <col min="10" max="10" width="10.83203125" style="1"/>
    <col min="11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97</v>
      </c>
      <c r="C1" s="3" t="s">
        <v>99</v>
      </c>
      <c r="D1" s="3" t="s">
        <v>4</v>
      </c>
      <c r="E1" s="3" t="s">
        <v>5</v>
      </c>
      <c r="F1" s="3" t="s">
        <v>19</v>
      </c>
      <c r="G1" s="3" t="s">
        <v>6</v>
      </c>
      <c r="H1" s="3" t="s">
        <v>84</v>
      </c>
      <c r="I1" s="3" t="s">
        <v>85</v>
      </c>
      <c r="J1" s="3" t="s">
        <v>25</v>
      </c>
      <c r="K1" s="3" t="s">
        <v>8</v>
      </c>
      <c r="L1" s="3" t="s">
        <v>22</v>
      </c>
      <c r="M1" s="3" t="s">
        <v>23</v>
      </c>
      <c r="N1" s="3" t="s">
        <v>24</v>
      </c>
      <c r="O1" s="3" t="s">
        <v>7</v>
      </c>
      <c r="P1" s="3" t="s">
        <v>38</v>
      </c>
      <c r="Q1" s="3" t="s">
        <v>59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91</v>
      </c>
      <c r="B2" s="6" t="s">
        <v>102</v>
      </c>
      <c r="C2" s="6" t="s">
        <v>102</v>
      </c>
      <c r="D2" s="1" t="s">
        <v>92</v>
      </c>
      <c r="E2" s="1">
        <v>2024</v>
      </c>
      <c r="F2" s="1">
        <v>2024</v>
      </c>
      <c r="G2" s="1" t="s">
        <v>93</v>
      </c>
      <c r="H2" s="1" t="s">
        <v>103</v>
      </c>
      <c r="I2" s="1" t="s">
        <v>104</v>
      </c>
      <c r="K2" s="1" t="s">
        <v>105</v>
      </c>
      <c r="L2" s="1">
        <v>29.7</v>
      </c>
      <c r="M2" s="1">
        <v>42</v>
      </c>
      <c r="O2" s="1" t="s">
        <v>106</v>
      </c>
      <c r="P2" s="7">
        <v>46046</v>
      </c>
      <c r="Q2" s="1" t="s">
        <v>107</v>
      </c>
    </row>
    <row r="3" spans="1:20" x14ac:dyDescent="0.2">
      <c r="A3" s="6" t="s">
        <v>108</v>
      </c>
      <c r="B3" s="6" t="s">
        <v>102</v>
      </c>
      <c r="C3" s="6" t="s">
        <v>102</v>
      </c>
      <c r="D3" s="1" t="s">
        <v>92</v>
      </c>
      <c r="E3" s="1">
        <v>2024</v>
      </c>
      <c r="F3" s="1">
        <v>2024</v>
      </c>
      <c r="G3" s="1" t="s">
        <v>93</v>
      </c>
      <c r="H3" s="1" t="s">
        <v>103</v>
      </c>
      <c r="I3" s="1" t="s">
        <v>104</v>
      </c>
      <c r="K3" s="1" t="s">
        <v>109</v>
      </c>
      <c r="L3" s="1">
        <v>42</v>
      </c>
      <c r="M3" s="1">
        <v>29.7</v>
      </c>
      <c r="O3" s="1" t="s">
        <v>106</v>
      </c>
      <c r="P3" s="7">
        <v>46046</v>
      </c>
      <c r="Q3" s="1" t="s">
        <v>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I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RowHeight="17" x14ac:dyDescent="0.2"/>
  <cols>
    <col min="1" max="9" width="20.83203125" style="1" customWidth="1"/>
    <col min="10" max="16384" width="10.83203125" style="1"/>
  </cols>
  <sheetData>
    <row r="1" spans="1:9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94</v>
      </c>
      <c r="H1" s="3" t="s">
        <v>74</v>
      </c>
      <c r="I1" s="3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86</v>
      </c>
      <c r="B1" s="3" t="s">
        <v>33</v>
      </c>
      <c r="C1" s="3" t="s">
        <v>89</v>
      </c>
      <c r="D1" s="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schema</vt:lpstr>
      <vt:lpstr>Works</vt:lpstr>
      <vt:lpstr>WorkImages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2026-01-25T00:19:38Z</dcterms:modified>
</cp:coreProperties>
</file>